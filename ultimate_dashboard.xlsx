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eather Tracker" sheetId="2" state="visible" r:id="rId2"/>
    <sheet name="Crypto Portfolio" sheetId="3" state="visible" r:id="rId3"/>
    <sheet name="Exchange Rates" sheetId="4" state="visible" r:id="rId4"/>
    <sheet name="GitHub Analytics" sheetId="5" state="visible" r:id="rId5"/>
    <sheet name="Sales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color rgb="002C3E50"/>
      <sz val="20"/>
    </font>
    <font>
      <i val="1"/>
      <color rgb="007F8C8D"/>
    </font>
    <font>
      <b val="1"/>
      <color rgb="00FFFFFF"/>
      <sz val="14"/>
    </font>
    <font>
      <b val="1"/>
      <color rgb="002C3E50"/>
      <sz val="14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D8DC"/>
        <bgColor rgb="00D5D8DC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dxfs count="2">
    <dxf>
      <font>
        <b val="1"/>
      </font>
      <fill>
        <patternFill patternType="solid">
          <fgColor rgb="0063BE7B"/>
          <bgColor rgb="0063BE7B"/>
        </patternFill>
      </fill>
    </dxf>
    <dxf>
      <font>
        <b val="1"/>
        <color rgb="00FFFFFF"/>
      </font>
      <fill>
        <patternFill patternType="solid">
          <fgColor rgb="00F8696B"/>
          <bgColor rgb="00F869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 DASHBOARD</t>
        </is>
      </c>
    </row>
    <row r="2">
      <c r="A2" t="inlineStr">
        <is>
          <t>Last Updated:</t>
        </is>
      </c>
      <c r="B2" s="2" t="inlineStr">
        <is>
          <t>2026-02-07 12:25:00</t>
        </is>
      </c>
    </row>
    <row r="4">
      <c r="A4" s="3" t="inlineStr">
        <is>
          <t>Total Records</t>
        </is>
      </c>
      <c r="C4" s="3" t="inlineStr">
        <is>
          <t>Active Items</t>
        </is>
      </c>
      <c r="E4" s="3" t="inlineStr">
        <is>
          <t>Success Rate</t>
        </is>
      </c>
      <c r="G4" s="3" t="inlineStr">
        <is>
          <t>Revenue</t>
        </is>
      </c>
    </row>
    <row r="5"/>
    <row r="8">
      <c r="A8" s="4" t="inlineStr">
        <is>
          <t>QUICK STATS</t>
        </is>
      </c>
    </row>
    <row r="10">
      <c r="A10" t="inlineStr">
        <is>
          <t>Weather: Tracking 5 cities</t>
        </is>
      </c>
    </row>
    <row r="11">
      <c r="A11" t="inlineStr">
        <is>
          <t>Crypto: Portfolio tracking</t>
        </is>
      </c>
    </row>
    <row r="12">
      <c r="A12" t="inlineStr">
        <is>
          <t>GitHub: 5 repositories</t>
        </is>
      </c>
    </row>
    <row r="13">
      <c r="A13" t="inlineStr">
        <is>
          <t>Sales: 50 transactions</t>
        </is>
      </c>
    </row>
    <row r="15">
      <c r="A15" t="inlineStr">
        <is>
          <t>Last Refreshed:</t>
        </is>
      </c>
      <c r="B15" s="2" t="inlineStr">
        <is>
          <t>2026-02-07 12:25:00</t>
        </is>
      </c>
    </row>
  </sheetData>
  <mergeCells count="9">
    <mergeCell ref="A4:B4"/>
    <mergeCell ref="G4:H4"/>
    <mergeCell ref="E4:F4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8" customWidth="1" min="4" max="4"/>
    <col width="20" customWidth="1" min="5" max="5"/>
    <col width="25" customWidth="1" min="6" max="6"/>
  </cols>
  <sheetData>
    <row r="1">
      <c r="A1" s="5" t="inlineStr">
        <is>
          <t>City</t>
        </is>
      </c>
      <c r="B1" s="5" t="inlineStr">
        <is>
          <t>Temperature (C)</t>
        </is>
      </c>
      <c r="C1" s="5" t="inlineStr">
        <is>
          <t>Humidity (%)</t>
        </is>
      </c>
      <c r="D1" s="5" t="inlineStr">
        <is>
          <t>Feels Like (C)</t>
        </is>
      </c>
      <c r="E1" s="5" t="inlineStr">
        <is>
          <t>Wind Speed (km/h)</t>
        </is>
      </c>
      <c r="F1" s="5" t="inlineStr">
        <is>
          <t>Description</t>
        </is>
      </c>
    </row>
    <row r="2">
      <c r="A2" t="inlineStr">
        <is>
          <t>London</t>
        </is>
      </c>
      <c r="B2" t="n">
        <v>7</v>
      </c>
      <c r="C2" t="n">
        <v>93</v>
      </c>
      <c r="D2" t="n">
        <v>5</v>
      </c>
      <c r="E2" t="n">
        <v>13</v>
      </c>
      <c r="F2" t="inlineStr">
        <is>
          <t>Overcast</t>
        </is>
      </c>
    </row>
    <row r="3">
      <c r="A3" t="inlineStr">
        <is>
          <t>NewYork</t>
        </is>
      </c>
      <c r="B3" t="n">
        <v>-1</v>
      </c>
      <c r="C3" t="n">
        <v>48</v>
      </c>
      <c r="D3" t="n">
        <v>-4</v>
      </c>
      <c r="E3" t="n">
        <v>9</v>
      </c>
      <c r="F3" t="inlineStr">
        <is>
          <t>Overcast</t>
        </is>
      </c>
    </row>
    <row r="4">
      <c r="A4" t="inlineStr">
        <is>
          <t>Tokyo</t>
        </is>
      </c>
      <c r="B4" t="n">
        <v>10</v>
      </c>
      <c r="C4" t="n">
        <v>83</v>
      </c>
      <c r="D4" t="n">
        <v>6</v>
      </c>
      <c r="E4" t="n">
        <v>37</v>
      </c>
      <c r="F4" t="inlineStr">
        <is>
          <t>Light rain shower</t>
        </is>
      </c>
    </row>
    <row r="5">
      <c r="A5" t="inlineStr">
        <is>
          <t>Paris</t>
        </is>
      </c>
      <c r="B5" t="n">
        <v>7</v>
      </c>
      <c r="C5" t="n">
        <v>90</v>
      </c>
      <c r="D5" t="n">
        <v>5</v>
      </c>
      <c r="E5" t="n">
        <v>13</v>
      </c>
      <c r="F5" t="inlineStr">
        <is>
          <t>Partly cloudy</t>
        </is>
      </c>
    </row>
    <row r="6">
      <c r="A6" t="inlineStr">
        <is>
          <t>Sydney</t>
        </is>
      </c>
      <c r="B6" t="n">
        <v>23</v>
      </c>
      <c r="C6" t="n">
        <v>87</v>
      </c>
      <c r="D6" t="n">
        <v>25</v>
      </c>
      <c r="E6" t="n">
        <v>21</v>
      </c>
      <c r="F6" t="inlineStr">
        <is>
          <t>Clear</t>
        </is>
      </c>
    </row>
  </sheetData>
  <conditionalFormatting sqref="B2:B1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2" customWidth="1" min="4" max="4"/>
    <col width="15" customWidth="1" min="5" max="5"/>
    <col width="18" customWidth="1" min="6" max="6"/>
    <col width="15" customWidth="1" min="7" max="7"/>
  </cols>
  <sheetData>
    <row r="1">
      <c r="A1" s="5" t="inlineStr">
        <is>
          <t>Cryptocurrency</t>
        </is>
      </c>
      <c r="B1" s="5" t="inlineStr">
        <is>
          <t>Current Price (USD)</t>
        </is>
      </c>
      <c r="C1" s="5" t="inlineStr">
        <is>
          <t>24h Change (%)</t>
        </is>
      </c>
      <c r="D1" s="5" t="inlineStr">
        <is>
          <t>Market Cap</t>
        </is>
      </c>
      <c r="E1" s="5" t="inlineStr">
        <is>
          <t>Holdings</t>
        </is>
      </c>
      <c r="F1" s="5" t="inlineStr">
        <is>
          <t>Value (USD)</t>
        </is>
      </c>
      <c r="G1" s="5" t="inlineStr">
        <is>
          <t>P/L (%)</t>
        </is>
      </c>
    </row>
    <row r="2">
      <c r="A2" t="inlineStr">
        <is>
          <t>Bitcoin</t>
        </is>
      </c>
      <c r="B2" t="n">
        <v>69884</v>
      </c>
      <c r="C2" t="n">
        <v>8.710000000000001</v>
      </c>
      <c r="D2" t="n">
        <v>1398137805796.068</v>
      </c>
      <c r="E2" t="n">
        <v>0.0014</v>
      </c>
      <c r="F2">
        <f>B2*E2</f>
        <v/>
      </c>
      <c r="G2" t="n">
        <v>8.710000000000001</v>
      </c>
    </row>
    <row r="3">
      <c r="A3" t="inlineStr">
        <is>
          <t>Cardano</t>
        </is>
      </c>
      <c r="B3" t="n">
        <v>0.27197</v>
      </c>
      <c r="C3" t="n">
        <v>10.3</v>
      </c>
      <c r="D3" t="n">
        <v>10003778728.32968</v>
      </c>
      <c r="E3" t="n">
        <v>367.6876</v>
      </c>
      <c r="F3">
        <f>B3*E3</f>
        <v/>
      </c>
      <c r="G3" t="n">
        <v>10.3</v>
      </c>
    </row>
    <row r="4">
      <c r="A4" t="inlineStr">
        <is>
          <t>Ethereum</t>
        </is>
      </c>
      <c r="B4" t="n">
        <v>2038.79</v>
      </c>
      <c r="C4" t="n">
        <v>7.87</v>
      </c>
      <c r="D4" t="n">
        <v>246327487233.2065</v>
      </c>
      <c r="E4" t="n">
        <v>0.049</v>
      </c>
      <c r="F4">
        <f>B4*E4</f>
        <v/>
      </c>
      <c r="G4" t="n">
        <v>7.87</v>
      </c>
    </row>
    <row r="5">
      <c r="A5" t="inlineStr">
        <is>
          <t>Polkadot</t>
        </is>
      </c>
      <c r="B5" t="n">
        <v>1.35</v>
      </c>
      <c r="C5" t="n">
        <v>8.06</v>
      </c>
      <c r="D5" t="n">
        <v>2241532534.996924</v>
      </c>
      <c r="E5" t="n">
        <v>74.0741</v>
      </c>
      <c r="F5">
        <f>B5*E5</f>
        <v/>
      </c>
      <c r="G5" t="n">
        <v>8.06</v>
      </c>
    </row>
    <row r="6">
      <c r="A6" t="inlineStr">
        <is>
          <t>Solana</t>
        </is>
      </c>
      <c r="B6" t="n">
        <v>86.15000000000001</v>
      </c>
      <c r="C6" t="n">
        <v>12.37</v>
      </c>
      <c r="D6" t="n">
        <v>48859576950.15976</v>
      </c>
      <c r="E6" t="n">
        <v>1.1608</v>
      </c>
      <c r="F6">
        <f>B6*E6</f>
        <v/>
      </c>
      <c r="G6" t="n">
        <v>12.37</v>
      </c>
    </row>
  </sheetData>
  <conditionalFormatting sqref="C2:C10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5" t="inlineStr">
        <is>
          <t>Currency Pair</t>
        </is>
      </c>
      <c r="B1" s="5" t="inlineStr">
        <is>
          <t>Exchange Rate</t>
        </is>
      </c>
      <c r="C1" s="5" t="inlineStr">
        <is>
          <t>Previous Rate</t>
        </is>
      </c>
      <c r="D1" s="5" t="inlineStr">
        <is>
          <t>Change</t>
        </is>
      </c>
      <c r="E1" s="5" t="inlineStr">
        <is>
          <t>% Change</t>
        </is>
      </c>
      <c r="F1" s="5" t="inlineStr">
        <is>
          <t>Amount to Convert</t>
        </is>
      </c>
      <c r="G1" s="5" t="inlineStr">
        <is>
          <t>Converted Value</t>
        </is>
      </c>
    </row>
    <row r="2">
      <c r="A2" t="inlineStr">
        <is>
          <t>USD/EUR</t>
        </is>
      </c>
      <c r="B2" t="n">
        <v>0.847</v>
      </c>
      <c r="C2" t="n">
        <v>0.8555</v>
      </c>
      <c r="D2">
        <f>B2-C2</f>
        <v/>
      </c>
      <c r="E2">
        <f>(B2-C2)/C2*100</f>
        <v/>
      </c>
      <c r="F2" t="n">
        <v>100</v>
      </c>
      <c r="G2">
        <f>B2*F2</f>
        <v/>
      </c>
    </row>
    <row r="3">
      <c r="A3" t="inlineStr">
        <is>
          <t>USD/GBP</t>
        </is>
      </c>
      <c r="B3" t="n">
        <v>0.736</v>
      </c>
      <c r="C3" t="n">
        <v>0.7469</v>
      </c>
      <c r="D3">
        <f>B3-C3</f>
        <v/>
      </c>
      <c r="E3">
        <f>(B3-C3)/C3*100</f>
        <v/>
      </c>
      <c r="F3" t="n">
        <v>100</v>
      </c>
      <c r="G3">
        <f>B3*F3</f>
        <v/>
      </c>
    </row>
    <row r="4">
      <c r="A4" t="inlineStr">
        <is>
          <t>USD/JPY</t>
        </is>
      </c>
      <c r="B4" t="n">
        <v>157.08</v>
      </c>
      <c r="C4" t="n">
        <v>155.2543</v>
      </c>
      <c r="D4">
        <f>B4-C4</f>
        <v/>
      </c>
      <c r="E4">
        <f>(B4-C4)/C4*100</f>
        <v/>
      </c>
      <c r="F4" t="n">
        <v>100</v>
      </c>
      <c r="G4">
        <f>B4*F4</f>
        <v/>
      </c>
    </row>
    <row r="5">
      <c r="A5" t="inlineStr">
        <is>
          <t>USD/AUD</t>
        </is>
      </c>
      <c r="B5" t="n">
        <v>1.43</v>
      </c>
      <c r="C5" t="n">
        <v>1.4409</v>
      </c>
      <c r="D5">
        <f>B5-C5</f>
        <v/>
      </c>
      <c r="E5">
        <f>(B5-C5)/C5*100</f>
        <v/>
      </c>
      <c r="F5" t="n">
        <v>100</v>
      </c>
      <c r="G5">
        <f>B5*F5</f>
        <v/>
      </c>
    </row>
    <row r="6">
      <c r="A6" t="inlineStr">
        <is>
          <t>USD/CAD</t>
        </is>
      </c>
      <c r="B6" t="n">
        <v>1.37</v>
      </c>
      <c r="C6" t="n">
        <v>1.3455</v>
      </c>
      <c r="D6">
        <f>B6-C6</f>
        <v/>
      </c>
      <c r="E6">
        <f>(B6-C6)/C6*100</f>
        <v/>
      </c>
      <c r="F6" t="n">
        <v>100</v>
      </c>
      <c r="G6">
        <f>B6*F6</f>
        <v/>
      </c>
    </row>
    <row r="7">
      <c r="A7" t="inlineStr">
        <is>
          <t>USD/CHF</t>
        </is>
      </c>
      <c r="B7" t="n">
        <v>0.776</v>
      </c>
      <c r="C7" t="n">
        <v>0.7857</v>
      </c>
      <c r="D7">
        <f>B7-C7</f>
        <v/>
      </c>
      <c r="E7">
        <f>(B7-C7)/C7*100</f>
        <v/>
      </c>
      <c r="F7" t="n">
        <v>100</v>
      </c>
      <c r="G7">
        <f>B7*F7</f>
        <v/>
      </c>
    </row>
    <row r="8">
      <c r="A8" t="inlineStr">
        <is>
          <t>USD/CNY</t>
        </is>
      </c>
      <c r="B8" t="n">
        <v>6.95</v>
      </c>
      <c r="C8" t="n">
        <v>7.0627</v>
      </c>
      <c r="D8">
        <f>B8-C8</f>
        <v/>
      </c>
      <c r="E8">
        <f>(B8-C8)/C8*100</f>
        <v/>
      </c>
      <c r="F8" t="n">
        <v>100</v>
      </c>
      <c r="G8">
        <f>B8*F8</f>
        <v/>
      </c>
    </row>
    <row r="9">
      <c r="A9" t="inlineStr">
        <is>
          <t>USD/INR</t>
        </is>
      </c>
      <c r="B9" t="n">
        <v>90.58</v>
      </c>
      <c r="C9" t="n">
        <v>89.32340000000001</v>
      </c>
      <c r="D9">
        <f>B9-C9</f>
        <v/>
      </c>
      <c r="E9">
        <f>(B9-C9)/C9*100</f>
        <v/>
      </c>
      <c r="F9" t="n">
        <v>100</v>
      </c>
      <c r="G9">
        <f>B9*F9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5" t="inlineStr">
        <is>
          <t>Repository</t>
        </is>
      </c>
      <c r="B1" s="5" t="inlineStr">
        <is>
          <t>Stars</t>
        </is>
      </c>
      <c r="C1" s="5" t="inlineStr">
        <is>
          <t>Forks</t>
        </is>
      </c>
      <c r="D1" s="5" t="inlineStr">
        <is>
          <t>Watchers</t>
        </is>
      </c>
      <c r="E1" s="5" t="inlineStr">
        <is>
          <t>Open Issues</t>
        </is>
      </c>
      <c r="F1" s="5" t="inlineStr">
        <is>
          <t>Size (KB)</t>
        </is>
      </c>
      <c r="G1" s="5" t="inlineStr">
        <is>
          <t>Language</t>
        </is>
      </c>
      <c r="H1" s="5" t="inlineStr">
        <is>
          <t>Last Updated</t>
        </is>
      </c>
    </row>
    <row r="2">
      <c r="A2" t="inlineStr">
        <is>
          <t>vscode</t>
        </is>
      </c>
      <c r="B2" t="n">
        <v>181477</v>
      </c>
      <c r="C2" t="n">
        <v>37775</v>
      </c>
      <c r="D2" t="n">
        <v>181477</v>
      </c>
      <c r="E2" t="n">
        <v>13686</v>
      </c>
      <c r="F2" t="n">
        <v>1123301</v>
      </c>
      <c r="G2" t="inlineStr">
        <is>
          <t>TypeScript</t>
        </is>
      </c>
      <c r="H2" t="inlineStr">
        <is>
          <t>2026-02-07</t>
        </is>
      </c>
    </row>
    <row r="3">
      <c r="A3" t="inlineStr">
        <is>
          <t>react</t>
        </is>
      </c>
      <c r="B3" t="n">
        <v>242836</v>
      </c>
      <c r="C3" t="n">
        <v>50537</v>
      </c>
      <c r="D3" t="n">
        <v>242836</v>
      </c>
      <c r="E3" t="n">
        <v>1116</v>
      </c>
      <c r="F3" t="n">
        <v>914658</v>
      </c>
      <c r="G3" t="inlineStr">
        <is>
          <t>JavaScript</t>
        </is>
      </c>
      <c r="H3" t="inlineStr">
        <is>
          <t>2026-02-07</t>
        </is>
      </c>
    </row>
    <row r="4">
      <c r="A4" t="inlineStr">
        <is>
          <t>vue</t>
        </is>
      </c>
      <c r="B4" t="n">
        <v>209902</v>
      </c>
      <c r="C4" t="n">
        <v>33891</v>
      </c>
      <c r="D4" t="n">
        <v>209902</v>
      </c>
      <c r="E4" t="n">
        <v>622</v>
      </c>
      <c r="F4" t="n">
        <v>32152</v>
      </c>
      <c r="G4" t="inlineStr">
        <is>
          <t>TypeScript</t>
        </is>
      </c>
      <c r="H4" t="inlineStr">
        <is>
          <t>2026-02-06</t>
        </is>
      </c>
    </row>
    <row r="5">
      <c r="A5" t="inlineStr">
        <is>
          <t>angular</t>
        </is>
      </c>
      <c r="B5" t="n">
        <v>99810</v>
      </c>
      <c r="C5" t="n">
        <v>27051</v>
      </c>
      <c r="D5" t="n">
        <v>99810</v>
      </c>
      <c r="E5" t="n">
        <v>1138</v>
      </c>
      <c r="F5" t="n">
        <v>609963</v>
      </c>
      <c r="G5" t="inlineStr">
        <is>
          <t>TypeScript</t>
        </is>
      </c>
      <c r="H5" t="inlineStr">
        <is>
          <t>2026-02-06</t>
        </is>
      </c>
    </row>
    <row r="6">
      <c r="A6" t="inlineStr">
        <is>
          <t>node</t>
        </is>
      </c>
      <c r="B6" t="n">
        <v>115584</v>
      </c>
      <c r="C6" t="n">
        <v>34638</v>
      </c>
      <c r="D6" t="n">
        <v>115584</v>
      </c>
      <c r="E6" t="n">
        <v>2452</v>
      </c>
      <c r="F6" t="n">
        <v>1412758</v>
      </c>
      <c r="G6" t="inlineStr">
        <is>
          <t>JavaScript</t>
        </is>
      </c>
      <c r="H6" t="inlineStr">
        <is>
          <t>2026-02-07</t>
        </is>
      </c>
    </row>
  </sheetData>
  <conditionalFormatting sqref="B2:B1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0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8" customWidth="1" min="10" max="10"/>
    <col width="15" customWidth="1" min="11" max="11"/>
  </cols>
  <sheetData>
    <row r="1">
      <c r="A1" s="5" t="inlineStr">
        <is>
          <t>Date</t>
        </is>
      </c>
      <c r="B1" s="5" t="inlineStr">
        <is>
          <t>Product</t>
        </is>
      </c>
      <c r="C1" s="5" t="inlineStr">
        <is>
          <t>Category</t>
        </is>
      </c>
      <c r="D1" s="5" t="inlineStr">
        <is>
          <t>Quantity</t>
        </is>
      </c>
      <c r="E1" s="5" t="inlineStr">
        <is>
          <t>Unit Price</t>
        </is>
      </c>
      <c r="F1" s="5" t="inlineStr">
        <is>
          <t>Discount %</t>
        </is>
      </c>
      <c r="G1" s="5" t="inlineStr">
        <is>
          <t>Subtotal</t>
        </is>
      </c>
      <c r="H1" s="5" t="inlineStr">
        <is>
          <t>Tax</t>
        </is>
      </c>
      <c r="I1" s="5" t="inlineStr">
        <is>
          <t>Total</t>
        </is>
      </c>
      <c r="J1" s="5" t="inlineStr">
        <is>
          <t>Profit Margin %</t>
        </is>
      </c>
      <c r="K1" s="5" t="inlineStr">
        <is>
          <t>Profit</t>
        </is>
      </c>
    </row>
    <row r="2">
      <c r="A2" t="inlineStr">
        <is>
          <t>2026-01-19</t>
        </is>
      </c>
      <c r="B2" t="inlineStr">
        <is>
          <t>Desk</t>
        </is>
      </c>
      <c r="C2" t="inlineStr">
        <is>
          <t>Furniture</t>
        </is>
      </c>
      <c r="D2" t="n">
        <v>10</v>
      </c>
      <c r="E2" t="n">
        <v>399.99</v>
      </c>
      <c r="F2" t="n">
        <v>15</v>
      </c>
      <c r="G2">
        <f>D2*E2*(1-F2/100)</f>
        <v/>
      </c>
      <c r="H2">
        <f>G2*0.1</f>
        <v/>
      </c>
      <c r="I2">
        <f>G2+H2</f>
        <v/>
      </c>
      <c r="J2" t="n">
        <v>30</v>
      </c>
      <c r="K2">
        <f>I2*J2/100</f>
        <v/>
      </c>
    </row>
    <row r="3">
      <c r="A3" t="inlineStr">
        <is>
          <t>2026-01-18</t>
        </is>
      </c>
      <c r="B3" t="inlineStr">
        <is>
          <t>Laptop</t>
        </is>
      </c>
      <c r="C3" t="inlineStr">
        <is>
          <t>Electronics</t>
        </is>
      </c>
      <c r="D3" t="n">
        <v>1</v>
      </c>
      <c r="E3" t="n">
        <v>999.99</v>
      </c>
      <c r="F3" t="n">
        <v>10</v>
      </c>
      <c r="G3">
        <f>D3*E3*(1-F3/100)</f>
        <v/>
      </c>
      <c r="H3">
        <f>G3*0.1</f>
        <v/>
      </c>
      <c r="I3">
        <f>G3+H3</f>
        <v/>
      </c>
      <c r="J3" t="n">
        <v>27</v>
      </c>
      <c r="K3">
        <f>I3*J3/100</f>
        <v/>
      </c>
    </row>
    <row r="4">
      <c r="A4" t="inlineStr">
        <is>
          <t>2026-02-07</t>
        </is>
      </c>
      <c r="B4" t="inlineStr">
        <is>
          <t>Chair</t>
        </is>
      </c>
      <c r="C4" t="inlineStr">
        <is>
          <t>Furniture</t>
        </is>
      </c>
      <c r="D4" t="n">
        <v>2</v>
      </c>
      <c r="E4" t="n">
        <v>249.99</v>
      </c>
      <c r="F4" t="n">
        <v>0</v>
      </c>
      <c r="G4">
        <f>D4*E4*(1-F4/100)</f>
        <v/>
      </c>
      <c r="H4">
        <f>G4*0.1</f>
        <v/>
      </c>
      <c r="I4">
        <f>G4+H4</f>
        <v/>
      </c>
      <c r="J4" t="n">
        <v>40</v>
      </c>
      <c r="K4">
        <f>I4*J4/100</f>
        <v/>
      </c>
    </row>
    <row r="5">
      <c r="A5" t="inlineStr">
        <is>
          <t>2026-01-08</t>
        </is>
      </c>
      <c r="B5" t="inlineStr">
        <is>
          <t>Mouse</t>
        </is>
      </c>
      <c r="C5" t="inlineStr">
        <is>
          <t>Electronics</t>
        </is>
      </c>
      <c r="D5" t="n">
        <v>10</v>
      </c>
      <c r="E5" t="n">
        <v>29.99</v>
      </c>
      <c r="F5" t="n">
        <v>20</v>
      </c>
      <c r="G5">
        <f>D5*E5*(1-F5/100)</f>
        <v/>
      </c>
      <c r="H5">
        <f>G5*0.1</f>
        <v/>
      </c>
      <c r="I5">
        <f>G5+H5</f>
        <v/>
      </c>
      <c r="J5" t="n">
        <v>23</v>
      </c>
      <c r="K5">
        <f>I5*J5/100</f>
        <v/>
      </c>
    </row>
    <row r="6">
      <c r="A6" t="inlineStr">
        <is>
          <t>2026-02-02</t>
        </is>
      </c>
      <c r="B6" t="inlineStr">
        <is>
          <t>Keyboard</t>
        </is>
      </c>
      <c r="C6" t="inlineStr">
        <is>
          <t>Electronics</t>
        </is>
      </c>
      <c r="D6" t="n">
        <v>4</v>
      </c>
      <c r="E6" t="n">
        <v>79.98999999999999</v>
      </c>
      <c r="F6" t="n">
        <v>10</v>
      </c>
      <c r="G6">
        <f>D6*E6*(1-F6/100)</f>
        <v/>
      </c>
      <c r="H6">
        <f>G6*0.1</f>
        <v/>
      </c>
      <c r="I6">
        <f>G6+H6</f>
        <v/>
      </c>
      <c r="J6" t="n">
        <v>38</v>
      </c>
      <c r="K6">
        <f>I6*J6/100</f>
        <v/>
      </c>
    </row>
    <row r="7">
      <c r="A7" t="inlineStr">
        <is>
          <t>2026-01-29</t>
        </is>
      </c>
      <c r="B7" t="inlineStr">
        <is>
          <t>Desk</t>
        </is>
      </c>
      <c r="C7" t="inlineStr">
        <is>
          <t>Furniture</t>
        </is>
      </c>
      <c r="D7" t="n">
        <v>3</v>
      </c>
      <c r="E7" t="n">
        <v>399.99</v>
      </c>
      <c r="F7" t="n">
        <v>0</v>
      </c>
      <c r="G7">
        <f>D7*E7*(1-F7/100)</f>
        <v/>
      </c>
      <c r="H7">
        <f>G7*0.1</f>
        <v/>
      </c>
      <c r="I7">
        <f>G7+H7</f>
        <v/>
      </c>
      <c r="J7" t="n">
        <v>25</v>
      </c>
      <c r="K7">
        <f>I7*J7/100</f>
        <v/>
      </c>
    </row>
    <row r="8">
      <c r="A8" t="inlineStr">
        <is>
          <t>2026-01-11</t>
        </is>
      </c>
      <c r="B8" t="inlineStr">
        <is>
          <t>Laptop</t>
        </is>
      </c>
      <c r="C8" t="inlineStr">
        <is>
          <t>Electronics</t>
        </is>
      </c>
      <c r="D8" t="n">
        <v>3</v>
      </c>
      <c r="E8" t="n">
        <v>999.99</v>
      </c>
      <c r="F8" t="n">
        <v>15</v>
      </c>
      <c r="G8">
        <f>D8*E8*(1-F8/100)</f>
        <v/>
      </c>
      <c r="H8">
        <f>G8*0.1</f>
        <v/>
      </c>
      <c r="I8">
        <f>G8+H8</f>
        <v/>
      </c>
      <c r="J8" t="n">
        <v>27</v>
      </c>
      <c r="K8">
        <f>I8*J8/100</f>
        <v/>
      </c>
    </row>
    <row r="9">
      <c r="A9" t="inlineStr">
        <is>
          <t>2026-01-29</t>
        </is>
      </c>
      <c r="B9" t="inlineStr">
        <is>
          <t>Chair</t>
        </is>
      </c>
      <c r="C9" t="inlineStr">
        <is>
          <t>Furniture</t>
        </is>
      </c>
      <c r="D9" t="n">
        <v>4</v>
      </c>
      <c r="E9" t="n">
        <v>249.99</v>
      </c>
      <c r="F9" t="n">
        <v>0</v>
      </c>
      <c r="G9">
        <f>D9*E9*(1-F9/100)</f>
        <v/>
      </c>
      <c r="H9">
        <f>G9*0.1</f>
        <v/>
      </c>
      <c r="I9">
        <f>G9+H9</f>
        <v/>
      </c>
      <c r="J9" t="n">
        <v>38</v>
      </c>
      <c r="K9">
        <f>I9*J9/100</f>
        <v/>
      </c>
    </row>
    <row r="10">
      <c r="A10" t="inlineStr">
        <is>
          <t>2026-02-07</t>
        </is>
      </c>
      <c r="B10" t="inlineStr">
        <is>
          <t>Monitor</t>
        </is>
      </c>
      <c r="C10" t="inlineStr">
        <is>
          <t>Electronics</t>
        </is>
      </c>
      <c r="D10" t="n">
        <v>8</v>
      </c>
      <c r="E10" t="n">
        <v>299.99</v>
      </c>
      <c r="F10" t="n">
        <v>0</v>
      </c>
      <c r="G10">
        <f>D10*E10*(1-F10/100)</f>
        <v/>
      </c>
      <c r="H10">
        <f>G10*0.1</f>
        <v/>
      </c>
      <c r="I10">
        <f>G10+H10</f>
        <v/>
      </c>
      <c r="J10" t="n">
        <v>20</v>
      </c>
      <c r="K10">
        <f>I10*J10/100</f>
        <v/>
      </c>
    </row>
    <row r="11">
      <c r="A11" t="inlineStr">
        <is>
          <t>2026-01-12</t>
        </is>
      </c>
      <c r="B11" t="inlineStr">
        <is>
          <t>Mouse</t>
        </is>
      </c>
      <c r="C11" t="inlineStr">
        <is>
          <t>Electronics</t>
        </is>
      </c>
      <c r="D11" t="n">
        <v>3</v>
      </c>
      <c r="E11" t="n">
        <v>29.99</v>
      </c>
      <c r="F11" t="n">
        <v>5</v>
      </c>
      <c r="G11">
        <f>D11*E11*(1-F11/100)</f>
        <v/>
      </c>
      <c r="H11">
        <f>G11*0.1</f>
        <v/>
      </c>
      <c r="I11">
        <f>G11+H11</f>
        <v/>
      </c>
      <c r="J11" t="n">
        <v>26</v>
      </c>
      <c r="K11">
        <f>I11*J11/100</f>
        <v/>
      </c>
    </row>
    <row r="12">
      <c r="A12" t="inlineStr">
        <is>
          <t>2026-01-16</t>
        </is>
      </c>
      <c r="B12" t="inlineStr">
        <is>
          <t>Chair</t>
        </is>
      </c>
      <c r="C12" t="inlineStr">
        <is>
          <t>Furniture</t>
        </is>
      </c>
      <c r="D12" t="n">
        <v>4</v>
      </c>
      <c r="E12" t="n">
        <v>249.99</v>
      </c>
      <c r="F12" t="n">
        <v>15</v>
      </c>
      <c r="G12">
        <f>D12*E12*(1-F12/100)</f>
        <v/>
      </c>
      <c r="H12">
        <f>G12*0.1</f>
        <v/>
      </c>
      <c r="I12">
        <f>G12+H12</f>
        <v/>
      </c>
      <c r="J12" t="n">
        <v>39</v>
      </c>
      <c r="K12">
        <f>I12*J12/100</f>
        <v/>
      </c>
    </row>
    <row r="13">
      <c r="A13" t="inlineStr">
        <is>
          <t>2026-02-05</t>
        </is>
      </c>
      <c r="B13" t="inlineStr">
        <is>
          <t>Keyboard</t>
        </is>
      </c>
      <c r="C13" t="inlineStr">
        <is>
          <t>Electronics</t>
        </is>
      </c>
      <c r="D13" t="n">
        <v>10</v>
      </c>
      <c r="E13" t="n">
        <v>79.98999999999999</v>
      </c>
      <c r="F13" t="n">
        <v>5</v>
      </c>
      <c r="G13">
        <f>D13*E13*(1-F13/100)</f>
        <v/>
      </c>
      <c r="H13">
        <f>G13*0.1</f>
        <v/>
      </c>
      <c r="I13">
        <f>G13+H13</f>
        <v/>
      </c>
      <c r="J13" t="n">
        <v>31</v>
      </c>
      <c r="K13">
        <f>I13*J13/100</f>
        <v/>
      </c>
    </row>
    <row r="14">
      <c r="A14" t="inlineStr">
        <is>
          <t>2026-01-26</t>
        </is>
      </c>
      <c r="B14" t="inlineStr">
        <is>
          <t>Monitor</t>
        </is>
      </c>
      <c r="C14" t="inlineStr">
        <is>
          <t>Electronics</t>
        </is>
      </c>
      <c r="D14" t="n">
        <v>1</v>
      </c>
      <c r="E14" t="n">
        <v>299.99</v>
      </c>
      <c r="F14" t="n">
        <v>15</v>
      </c>
      <c r="G14">
        <f>D14*E14*(1-F14/100)</f>
        <v/>
      </c>
      <c r="H14">
        <f>G14*0.1</f>
        <v/>
      </c>
      <c r="I14">
        <f>G14+H14</f>
        <v/>
      </c>
      <c r="J14" t="n">
        <v>31</v>
      </c>
      <c r="K14">
        <f>I14*J14/100</f>
        <v/>
      </c>
    </row>
    <row r="15">
      <c r="A15" t="inlineStr">
        <is>
          <t>2026-01-28</t>
        </is>
      </c>
      <c r="B15" t="inlineStr">
        <is>
          <t>Keyboard</t>
        </is>
      </c>
      <c r="C15" t="inlineStr">
        <is>
          <t>Electronics</t>
        </is>
      </c>
      <c r="D15" t="n">
        <v>10</v>
      </c>
      <c r="E15" t="n">
        <v>79.98999999999999</v>
      </c>
      <c r="F15" t="n">
        <v>10</v>
      </c>
      <c r="G15">
        <f>D15*E15*(1-F15/100)</f>
        <v/>
      </c>
      <c r="H15">
        <f>G15*0.1</f>
        <v/>
      </c>
      <c r="I15">
        <f>G15+H15</f>
        <v/>
      </c>
      <c r="J15" t="n">
        <v>25</v>
      </c>
      <c r="K15">
        <f>I15*J15/100</f>
        <v/>
      </c>
    </row>
    <row r="16">
      <c r="A16" t="inlineStr">
        <is>
          <t>2026-01-22</t>
        </is>
      </c>
      <c r="B16" t="inlineStr">
        <is>
          <t>Laptop</t>
        </is>
      </c>
      <c r="C16" t="inlineStr">
        <is>
          <t>Electronics</t>
        </is>
      </c>
      <c r="D16" t="n">
        <v>4</v>
      </c>
      <c r="E16" t="n">
        <v>999.99</v>
      </c>
      <c r="F16" t="n">
        <v>0</v>
      </c>
      <c r="G16">
        <f>D16*E16*(1-F16/100)</f>
        <v/>
      </c>
      <c r="H16">
        <f>G16*0.1</f>
        <v/>
      </c>
      <c r="I16">
        <f>G16+H16</f>
        <v/>
      </c>
      <c r="J16" t="n">
        <v>28</v>
      </c>
      <c r="K16">
        <f>I16*J16/100</f>
        <v/>
      </c>
    </row>
    <row r="17">
      <c r="A17" t="inlineStr">
        <is>
          <t>2026-01-26</t>
        </is>
      </c>
      <c r="B17" t="inlineStr">
        <is>
          <t>Desk</t>
        </is>
      </c>
      <c r="C17" t="inlineStr">
        <is>
          <t>Furniture</t>
        </is>
      </c>
      <c r="D17" t="n">
        <v>9</v>
      </c>
      <c r="E17" t="n">
        <v>399.99</v>
      </c>
      <c r="F17" t="n">
        <v>15</v>
      </c>
      <c r="G17">
        <f>D17*E17*(1-F17/100)</f>
        <v/>
      </c>
      <c r="H17">
        <f>G17*0.1</f>
        <v/>
      </c>
      <c r="I17">
        <f>G17+H17</f>
        <v/>
      </c>
      <c r="J17" t="n">
        <v>48</v>
      </c>
      <c r="K17">
        <f>I17*J17/100</f>
        <v/>
      </c>
    </row>
    <row r="18">
      <c r="A18" t="inlineStr">
        <is>
          <t>2026-01-30</t>
        </is>
      </c>
      <c r="B18" t="inlineStr">
        <is>
          <t>Keyboard</t>
        </is>
      </c>
      <c r="C18" t="inlineStr">
        <is>
          <t>Electronics</t>
        </is>
      </c>
      <c r="D18" t="n">
        <v>6</v>
      </c>
      <c r="E18" t="n">
        <v>79.98999999999999</v>
      </c>
      <c r="F18" t="n">
        <v>0</v>
      </c>
      <c r="G18">
        <f>D18*E18*(1-F18/100)</f>
        <v/>
      </c>
      <c r="H18">
        <f>G18*0.1</f>
        <v/>
      </c>
      <c r="I18">
        <f>G18+H18</f>
        <v/>
      </c>
      <c r="J18" t="n">
        <v>37</v>
      </c>
      <c r="K18">
        <f>I18*J18/100</f>
        <v/>
      </c>
    </row>
    <row r="19">
      <c r="A19" t="inlineStr">
        <is>
          <t>2026-01-16</t>
        </is>
      </c>
      <c r="B19" t="inlineStr">
        <is>
          <t>Keyboard</t>
        </is>
      </c>
      <c r="C19" t="inlineStr">
        <is>
          <t>Electronics</t>
        </is>
      </c>
      <c r="D19" t="n">
        <v>2</v>
      </c>
      <c r="E19" t="n">
        <v>79.98999999999999</v>
      </c>
      <c r="F19" t="n">
        <v>5</v>
      </c>
      <c r="G19">
        <f>D19*E19*(1-F19/100)</f>
        <v/>
      </c>
      <c r="H19">
        <f>G19*0.1</f>
        <v/>
      </c>
      <c r="I19">
        <f>G19+H19</f>
        <v/>
      </c>
      <c r="J19" t="n">
        <v>50</v>
      </c>
      <c r="K19">
        <f>I19*J19/100</f>
        <v/>
      </c>
    </row>
    <row r="20">
      <c r="A20" t="inlineStr">
        <is>
          <t>2026-01-24</t>
        </is>
      </c>
      <c r="B20" t="inlineStr">
        <is>
          <t>Desk</t>
        </is>
      </c>
      <c r="C20" t="inlineStr">
        <is>
          <t>Furniture</t>
        </is>
      </c>
      <c r="D20" t="n">
        <v>9</v>
      </c>
      <c r="E20" t="n">
        <v>399.99</v>
      </c>
      <c r="F20" t="n">
        <v>0</v>
      </c>
      <c r="G20">
        <f>D20*E20*(1-F20/100)</f>
        <v/>
      </c>
      <c r="H20">
        <f>G20*0.1</f>
        <v/>
      </c>
      <c r="I20">
        <f>G20+H20</f>
        <v/>
      </c>
      <c r="J20" t="n">
        <v>37</v>
      </c>
      <c r="K20">
        <f>I20*J20/100</f>
        <v/>
      </c>
    </row>
    <row r="21">
      <c r="A21" t="inlineStr">
        <is>
          <t>2026-01-11</t>
        </is>
      </c>
      <c r="B21" t="inlineStr">
        <is>
          <t>Laptop</t>
        </is>
      </c>
      <c r="C21" t="inlineStr">
        <is>
          <t>Electronics</t>
        </is>
      </c>
      <c r="D21" t="n">
        <v>1</v>
      </c>
      <c r="E21" t="n">
        <v>999.99</v>
      </c>
      <c r="F21" t="n">
        <v>20</v>
      </c>
      <c r="G21">
        <f>D21*E21*(1-F21/100)</f>
        <v/>
      </c>
      <c r="H21">
        <f>G21*0.1</f>
        <v/>
      </c>
      <c r="I21">
        <f>G21+H21</f>
        <v/>
      </c>
      <c r="J21" t="n">
        <v>35</v>
      </c>
      <c r="K21">
        <f>I21*J21/100</f>
        <v/>
      </c>
    </row>
    <row r="22">
      <c r="A22" t="inlineStr">
        <is>
          <t>2026-01-17</t>
        </is>
      </c>
      <c r="B22" t="inlineStr">
        <is>
          <t>Laptop</t>
        </is>
      </c>
      <c r="C22" t="inlineStr">
        <is>
          <t>Electronics</t>
        </is>
      </c>
      <c r="D22" t="n">
        <v>7</v>
      </c>
      <c r="E22" t="n">
        <v>999.99</v>
      </c>
      <c r="F22" t="n">
        <v>5</v>
      </c>
      <c r="G22">
        <f>D22*E22*(1-F22/100)</f>
        <v/>
      </c>
      <c r="H22">
        <f>G22*0.1</f>
        <v/>
      </c>
      <c r="I22">
        <f>G22+H22</f>
        <v/>
      </c>
      <c r="J22" t="n">
        <v>47</v>
      </c>
      <c r="K22">
        <f>I22*J22/100</f>
        <v/>
      </c>
    </row>
    <row r="23">
      <c r="A23" t="inlineStr">
        <is>
          <t>2026-01-14</t>
        </is>
      </c>
      <c r="B23" t="inlineStr">
        <is>
          <t>Mouse</t>
        </is>
      </c>
      <c r="C23" t="inlineStr">
        <is>
          <t>Electronics</t>
        </is>
      </c>
      <c r="D23" t="n">
        <v>8</v>
      </c>
      <c r="E23" t="n">
        <v>29.99</v>
      </c>
      <c r="F23" t="n">
        <v>5</v>
      </c>
      <c r="G23">
        <f>D23*E23*(1-F23/100)</f>
        <v/>
      </c>
      <c r="H23">
        <f>G23*0.1</f>
        <v/>
      </c>
      <c r="I23">
        <f>G23+H23</f>
        <v/>
      </c>
      <c r="J23" t="n">
        <v>40</v>
      </c>
      <c r="K23">
        <f>I23*J23/100</f>
        <v/>
      </c>
    </row>
    <row r="24">
      <c r="A24" t="inlineStr">
        <is>
          <t>2026-01-23</t>
        </is>
      </c>
      <c r="B24" t="inlineStr">
        <is>
          <t>Monitor</t>
        </is>
      </c>
      <c r="C24" t="inlineStr">
        <is>
          <t>Electronics</t>
        </is>
      </c>
      <c r="D24" t="n">
        <v>3</v>
      </c>
      <c r="E24" t="n">
        <v>299.99</v>
      </c>
      <c r="F24" t="n">
        <v>10</v>
      </c>
      <c r="G24">
        <f>D24*E24*(1-F24/100)</f>
        <v/>
      </c>
      <c r="H24">
        <f>G24*0.1</f>
        <v/>
      </c>
      <c r="I24">
        <f>G24+H24</f>
        <v/>
      </c>
      <c r="J24" t="n">
        <v>44</v>
      </c>
      <c r="K24">
        <f>I24*J24/100</f>
        <v/>
      </c>
    </row>
    <row r="25">
      <c r="A25" t="inlineStr">
        <is>
          <t>2026-02-04</t>
        </is>
      </c>
      <c r="B25" t="inlineStr">
        <is>
          <t>Laptop</t>
        </is>
      </c>
      <c r="C25" t="inlineStr">
        <is>
          <t>Electronics</t>
        </is>
      </c>
      <c r="D25" t="n">
        <v>3</v>
      </c>
      <c r="E25" t="n">
        <v>999.99</v>
      </c>
      <c r="F25" t="n">
        <v>5</v>
      </c>
      <c r="G25">
        <f>D25*E25*(1-F25/100)</f>
        <v/>
      </c>
      <c r="H25">
        <f>G25*0.1</f>
        <v/>
      </c>
      <c r="I25">
        <f>G25+H25</f>
        <v/>
      </c>
      <c r="J25" t="n">
        <v>22</v>
      </c>
      <c r="K25">
        <f>I25*J25/100</f>
        <v/>
      </c>
    </row>
    <row r="26">
      <c r="A26" t="inlineStr">
        <is>
          <t>2026-01-26</t>
        </is>
      </c>
      <c r="B26" t="inlineStr">
        <is>
          <t>Laptop</t>
        </is>
      </c>
      <c r="C26" t="inlineStr">
        <is>
          <t>Electronics</t>
        </is>
      </c>
      <c r="D26" t="n">
        <v>1</v>
      </c>
      <c r="E26" t="n">
        <v>999.99</v>
      </c>
      <c r="F26" t="n">
        <v>20</v>
      </c>
      <c r="G26">
        <f>D26*E26*(1-F26/100)</f>
        <v/>
      </c>
      <c r="H26">
        <f>G26*0.1</f>
        <v/>
      </c>
      <c r="I26">
        <f>G26+H26</f>
        <v/>
      </c>
      <c r="J26" t="n">
        <v>35</v>
      </c>
      <c r="K26">
        <f>I26*J26/100</f>
        <v/>
      </c>
    </row>
    <row r="27">
      <c r="A27" t="inlineStr">
        <is>
          <t>2026-02-03</t>
        </is>
      </c>
      <c r="B27" t="inlineStr">
        <is>
          <t>Mouse</t>
        </is>
      </c>
      <c r="C27" t="inlineStr">
        <is>
          <t>Electronics</t>
        </is>
      </c>
      <c r="D27" t="n">
        <v>3</v>
      </c>
      <c r="E27" t="n">
        <v>29.99</v>
      </c>
      <c r="F27" t="n">
        <v>15</v>
      </c>
      <c r="G27">
        <f>D27*E27*(1-F27/100)</f>
        <v/>
      </c>
      <c r="H27">
        <f>G27*0.1</f>
        <v/>
      </c>
      <c r="I27">
        <f>G27+H27</f>
        <v/>
      </c>
      <c r="J27" t="n">
        <v>44</v>
      </c>
      <c r="K27">
        <f>I27*J27/100</f>
        <v/>
      </c>
    </row>
    <row r="28">
      <c r="A28" t="inlineStr">
        <is>
          <t>2026-01-14</t>
        </is>
      </c>
      <c r="B28" t="inlineStr">
        <is>
          <t>Chair</t>
        </is>
      </c>
      <c r="C28" t="inlineStr">
        <is>
          <t>Furniture</t>
        </is>
      </c>
      <c r="D28" t="n">
        <v>2</v>
      </c>
      <c r="E28" t="n">
        <v>249.99</v>
      </c>
      <c r="F28" t="n">
        <v>10</v>
      </c>
      <c r="G28">
        <f>D28*E28*(1-F28/100)</f>
        <v/>
      </c>
      <c r="H28">
        <f>G28*0.1</f>
        <v/>
      </c>
      <c r="I28">
        <f>G28+H28</f>
        <v/>
      </c>
      <c r="J28" t="n">
        <v>43</v>
      </c>
      <c r="K28">
        <f>I28*J28/100</f>
        <v/>
      </c>
    </row>
    <row r="29">
      <c r="A29" t="inlineStr">
        <is>
          <t>2026-01-24</t>
        </is>
      </c>
      <c r="B29" t="inlineStr">
        <is>
          <t>Keyboard</t>
        </is>
      </c>
      <c r="C29" t="inlineStr">
        <is>
          <t>Electronics</t>
        </is>
      </c>
      <c r="D29" t="n">
        <v>1</v>
      </c>
      <c r="E29" t="n">
        <v>79.98999999999999</v>
      </c>
      <c r="F29" t="n">
        <v>15</v>
      </c>
      <c r="G29">
        <f>D29*E29*(1-F29/100)</f>
        <v/>
      </c>
      <c r="H29">
        <f>G29*0.1</f>
        <v/>
      </c>
      <c r="I29">
        <f>G29+H29</f>
        <v/>
      </c>
      <c r="J29" t="n">
        <v>50</v>
      </c>
      <c r="K29">
        <f>I29*J29/100</f>
        <v/>
      </c>
    </row>
    <row r="30">
      <c r="A30" t="inlineStr">
        <is>
          <t>2026-01-17</t>
        </is>
      </c>
      <c r="B30" t="inlineStr">
        <is>
          <t>Monitor</t>
        </is>
      </c>
      <c r="C30" t="inlineStr">
        <is>
          <t>Electronics</t>
        </is>
      </c>
      <c r="D30" t="n">
        <v>3</v>
      </c>
      <c r="E30" t="n">
        <v>299.99</v>
      </c>
      <c r="F30" t="n">
        <v>10</v>
      </c>
      <c r="G30">
        <f>D30*E30*(1-F30/100)</f>
        <v/>
      </c>
      <c r="H30">
        <f>G30*0.1</f>
        <v/>
      </c>
      <c r="I30">
        <f>G30+H30</f>
        <v/>
      </c>
      <c r="J30" t="n">
        <v>30</v>
      </c>
      <c r="K30">
        <f>I30*J30/100</f>
        <v/>
      </c>
    </row>
    <row r="31">
      <c r="A31" t="inlineStr">
        <is>
          <t>2026-01-28</t>
        </is>
      </c>
      <c r="B31" t="inlineStr">
        <is>
          <t>Mouse</t>
        </is>
      </c>
      <c r="C31" t="inlineStr">
        <is>
          <t>Electronics</t>
        </is>
      </c>
      <c r="D31" t="n">
        <v>4</v>
      </c>
      <c r="E31" t="n">
        <v>29.99</v>
      </c>
      <c r="F31" t="n">
        <v>15</v>
      </c>
      <c r="G31">
        <f>D31*E31*(1-F31/100)</f>
        <v/>
      </c>
      <c r="H31">
        <f>G31*0.1</f>
        <v/>
      </c>
      <c r="I31">
        <f>G31+H31</f>
        <v/>
      </c>
      <c r="J31" t="n">
        <v>43</v>
      </c>
      <c r="K31">
        <f>I31*J31/100</f>
        <v/>
      </c>
    </row>
    <row r="32">
      <c r="A32" t="inlineStr">
        <is>
          <t>2026-01-23</t>
        </is>
      </c>
      <c r="B32" t="inlineStr">
        <is>
          <t>Keyboard</t>
        </is>
      </c>
      <c r="C32" t="inlineStr">
        <is>
          <t>Electronics</t>
        </is>
      </c>
      <c r="D32" t="n">
        <v>1</v>
      </c>
      <c r="E32" t="n">
        <v>79.98999999999999</v>
      </c>
      <c r="F32" t="n">
        <v>20</v>
      </c>
      <c r="G32">
        <f>D32*E32*(1-F32/100)</f>
        <v/>
      </c>
      <c r="H32">
        <f>G32*0.1</f>
        <v/>
      </c>
      <c r="I32">
        <f>G32+H32</f>
        <v/>
      </c>
      <c r="J32" t="n">
        <v>22</v>
      </c>
      <c r="K32">
        <f>I32*J32/100</f>
        <v/>
      </c>
    </row>
    <row r="33">
      <c r="A33" t="inlineStr">
        <is>
          <t>2026-01-09</t>
        </is>
      </c>
      <c r="B33" t="inlineStr">
        <is>
          <t>Monitor</t>
        </is>
      </c>
      <c r="C33" t="inlineStr">
        <is>
          <t>Electronics</t>
        </is>
      </c>
      <c r="D33" t="n">
        <v>4</v>
      </c>
      <c r="E33" t="n">
        <v>299.99</v>
      </c>
      <c r="F33" t="n">
        <v>20</v>
      </c>
      <c r="G33">
        <f>D33*E33*(1-F33/100)</f>
        <v/>
      </c>
      <c r="H33">
        <f>G33*0.1</f>
        <v/>
      </c>
      <c r="I33">
        <f>G33+H33</f>
        <v/>
      </c>
      <c r="J33" t="n">
        <v>34</v>
      </c>
      <c r="K33">
        <f>I33*J33/100</f>
        <v/>
      </c>
    </row>
    <row r="34">
      <c r="A34" t="inlineStr">
        <is>
          <t>2026-01-16</t>
        </is>
      </c>
      <c r="B34" t="inlineStr">
        <is>
          <t>Desk</t>
        </is>
      </c>
      <c r="C34" t="inlineStr">
        <is>
          <t>Furniture</t>
        </is>
      </c>
      <c r="D34" t="n">
        <v>8</v>
      </c>
      <c r="E34" t="n">
        <v>399.99</v>
      </c>
      <c r="F34" t="n">
        <v>10</v>
      </c>
      <c r="G34">
        <f>D34*E34*(1-F34/100)</f>
        <v/>
      </c>
      <c r="H34">
        <f>G34*0.1</f>
        <v/>
      </c>
      <c r="I34">
        <f>G34+H34</f>
        <v/>
      </c>
      <c r="J34" t="n">
        <v>23</v>
      </c>
      <c r="K34">
        <f>I34*J34/100</f>
        <v/>
      </c>
    </row>
    <row r="35">
      <c r="A35" t="inlineStr">
        <is>
          <t>2026-01-16</t>
        </is>
      </c>
      <c r="B35" t="inlineStr">
        <is>
          <t>Desk</t>
        </is>
      </c>
      <c r="C35" t="inlineStr">
        <is>
          <t>Furniture</t>
        </is>
      </c>
      <c r="D35" t="n">
        <v>2</v>
      </c>
      <c r="E35" t="n">
        <v>399.99</v>
      </c>
      <c r="F35" t="n">
        <v>5</v>
      </c>
      <c r="G35">
        <f>D35*E35*(1-F35/100)</f>
        <v/>
      </c>
      <c r="H35">
        <f>G35*0.1</f>
        <v/>
      </c>
      <c r="I35">
        <f>G35+H35</f>
        <v/>
      </c>
      <c r="J35" t="n">
        <v>27</v>
      </c>
      <c r="K35">
        <f>I35*J35/100</f>
        <v/>
      </c>
    </row>
    <row r="36">
      <c r="A36" t="inlineStr">
        <is>
          <t>2026-01-16</t>
        </is>
      </c>
      <c r="B36" t="inlineStr">
        <is>
          <t>Monitor</t>
        </is>
      </c>
      <c r="C36" t="inlineStr">
        <is>
          <t>Electronics</t>
        </is>
      </c>
      <c r="D36" t="n">
        <v>8</v>
      </c>
      <c r="E36" t="n">
        <v>299.99</v>
      </c>
      <c r="F36" t="n">
        <v>0</v>
      </c>
      <c r="G36">
        <f>D36*E36*(1-F36/100)</f>
        <v/>
      </c>
      <c r="H36">
        <f>G36*0.1</f>
        <v/>
      </c>
      <c r="I36">
        <f>G36+H36</f>
        <v/>
      </c>
      <c r="J36" t="n">
        <v>29</v>
      </c>
      <c r="K36">
        <f>I36*J36/100</f>
        <v/>
      </c>
    </row>
    <row r="37">
      <c r="A37" t="inlineStr">
        <is>
          <t>2026-01-13</t>
        </is>
      </c>
      <c r="B37" t="inlineStr">
        <is>
          <t>Keyboard</t>
        </is>
      </c>
      <c r="C37" t="inlineStr">
        <is>
          <t>Electronics</t>
        </is>
      </c>
      <c r="D37" t="n">
        <v>5</v>
      </c>
      <c r="E37" t="n">
        <v>79.98999999999999</v>
      </c>
      <c r="F37" t="n">
        <v>5</v>
      </c>
      <c r="G37">
        <f>D37*E37*(1-F37/100)</f>
        <v/>
      </c>
      <c r="H37">
        <f>G37*0.1</f>
        <v/>
      </c>
      <c r="I37">
        <f>G37+H37</f>
        <v/>
      </c>
      <c r="J37" t="n">
        <v>30</v>
      </c>
      <c r="K37">
        <f>I37*J37/100</f>
        <v/>
      </c>
    </row>
    <row r="38">
      <c r="A38" t="inlineStr">
        <is>
          <t>2026-01-15</t>
        </is>
      </c>
      <c r="B38" t="inlineStr">
        <is>
          <t>Monitor</t>
        </is>
      </c>
      <c r="C38" t="inlineStr">
        <is>
          <t>Electronics</t>
        </is>
      </c>
      <c r="D38" t="n">
        <v>4</v>
      </c>
      <c r="E38" t="n">
        <v>299.99</v>
      </c>
      <c r="F38" t="n">
        <v>20</v>
      </c>
      <c r="G38">
        <f>D38*E38*(1-F38/100)</f>
        <v/>
      </c>
      <c r="H38">
        <f>G38*0.1</f>
        <v/>
      </c>
      <c r="I38">
        <f>G38+H38</f>
        <v/>
      </c>
      <c r="J38" t="n">
        <v>39</v>
      </c>
      <c r="K38">
        <f>I38*J38/100</f>
        <v/>
      </c>
    </row>
    <row r="39">
      <c r="A39" t="inlineStr">
        <is>
          <t>2026-01-13</t>
        </is>
      </c>
      <c r="B39" t="inlineStr">
        <is>
          <t>Laptop</t>
        </is>
      </c>
      <c r="C39" t="inlineStr">
        <is>
          <t>Electronics</t>
        </is>
      </c>
      <c r="D39" t="n">
        <v>2</v>
      </c>
      <c r="E39" t="n">
        <v>999.99</v>
      </c>
      <c r="F39" t="n">
        <v>5</v>
      </c>
      <c r="G39">
        <f>D39*E39*(1-F39/100)</f>
        <v/>
      </c>
      <c r="H39">
        <f>G39*0.1</f>
        <v/>
      </c>
      <c r="I39">
        <f>G39+H39</f>
        <v/>
      </c>
      <c r="J39" t="n">
        <v>50</v>
      </c>
      <c r="K39">
        <f>I39*J39/100</f>
        <v/>
      </c>
    </row>
    <row r="40">
      <c r="A40" t="inlineStr">
        <is>
          <t>2026-01-18</t>
        </is>
      </c>
      <c r="B40" t="inlineStr">
        <is>
          <t>Monitor</t>
        </is>
      </c>
      <c r="C40" t="inlineStr">
        <is>
          <t>Electronics</t>
        </is>
      </c>
      <c r="D40" t="n">
        <v>10</v>
      </c>
      <c r="E40" t="n">
        <v>299.99</v>
      </c>
      <c r="F40" t="n">
        <v>5</v>
      </c>
      <c r="G40">
        <f>D40*E40*(1-F40/100)</f>
        <v/>
      </c>
      <c r="H40">
        <f>G40*0.1</f>
        <v/>
      </c>
      <c r="I40">
        <f>G40+H40</f>
        <v/>
      </c>
      <c r="J40" t="n">
        <v>37</v>
      </c>
      <c r="K40">
        <f>I40*J40/100</f>
        <v/>
      </c>
    </row>
    <row r="41">
      <c r="A41" t="inlineStr">
        <is>
          <t>2026-02-07</t>
        </is>
      </c>
      <c r="B41" t="inlineStr">
        <is>
          <t>Laptop</t>
        </is>
      </c>
      <c r="C41" t="inlineStr">
        <is>
          <t>Electronics</t>
        </is>
      </c>
      <c r="D41" t="n">
        <v>8</v>
      </c>
      <c r="E41" t="n">
        <v>999.99</v>
      </c>
      <c r="F41" t="n">
        <v>15</v>
      </c>
      <c r="G41">
        <f>D41*E41*(1-F41/100)</f>
        <v/>
      </c>
      <c r="H41">
        <f>G41*0.1</f>
        <v/>
      </c>
      <c r="I41">
        <f>G41+H41</f>
        <v/>
      </c>
      <c r="J41" t="n">
        <v>39</v>
      </c>
      <c r="K41">
        <f>I41*J41/100</f>
        <v/>
      </c>
    </row>
    <row r="42">
      <c r="A42" t="inlineStr">
        <is>
          <t>2026-01-09</t>
        </is>
      </c>
      <c r="B42" t="inlineStr">
        <is>
          <t>Mouse</t>
        </is>
      </c>
      <c r="C42" t="inlineStr">
        <is>
          <t>Electronics</t>
        </is>
      </c>
      <c r="D42" t="n">
        <v>4</v>
      </c>
      <c r="E42" t="n">
        <v>29.99</v>
      </c>
      <c r="F42" t="n">
        <v>5</v>
      </c>
      <c r="G42">
        <f>D42*E42*(1-F42/100)</f>
        <v/>
      </c>
      <c r="H42">
        <f>G42*0.1</f>
        <v/>
      </c>
      <c r="I42">
        <f>G42+H42</f>
        <v/>
      </c>
      <c r="J42" t="n">
        <v>20</v>
      </c>
      <c r="K42">
        <f>I42*J42/100</f>
        <v/>
      </c>
    </row>
    <row r="43">
      <c r="A43" t="inlineStr">
        <is>
          <t>2026-01-20</t>
        </is>
      </c>
      <c r="B43" t="inlineStr">
        <is>
          <t>Keyboard</t>
        </is>
      </c>
      <c r="C43" t="inlineStr">
        <is>
          <t>Electronics</t>
        </is>
      </c>
      <c r="D43" t="n">
        <v>1</v>
      </c>
      <c r="E43" t="n">
        <v>79.98999999999999</v>
      </c>
      <c r="F43" t="n">
        <v>5</v>
      </c>
      <c r="G43">
        <f>D43*E43*(1-F43/100)</f>
        <v/>
      </c>
      <c r="H43">
        <f>G43*0.1</f>
        <v/>
      </c>
      <c r="I43">
        <f>G43+H43</f>
        <v/>
      </c>
      <c r="J43" t="n">
        <v>23</v>
      </c>
      <c r="K43">
        <f>I43*J43/100</f>
        <v/>
      </c>
    </row>
    <row r="44">
      <c r="A44" t="inlineStr">
        <is>
          <t>2026-01-14</t>
        </is>
      </c>
      <c r="B44" t="inlineStr">
        <is>
          <t>Monitor</t>
        </is>
      </c>
      <c r="C44" t="inlineStr">
        <is>
          <t>Electronics</t>
        </is>
      </c>
      <c r="D44" t="n">
        <v>4</v>
      </c>
      <c r="E44" t="n">
        <v>299.99</v>
      </c>
      <c r="F44" t="n">
        <v>20</v>
      </c>
      <c r="G44">
        <f>D44*E44*(1-F44/100)</f>
        <v/>
      </c>
      <c r="H44">
        <f>G44*0.1</f>
        <v/>
      </c>
      <c r="I44">
        <f>G44+H44</f>
        <v/>
      </c>
      <c r="J44" t="n">
        <v>41</v>
      </c>
      <c r="K44">
        <f>I44*J44/100</f>
        <v/>
      </c>
    </row>
    <row r="45">
      <c r="A45" t="inlineStr">
        <is>
          <t>2026-01-12</t>
        </is>
      </c>
      <c r="B45" t="inlineStr">
        <is>
          <t>Desk</t>
        </is>
      </c>
      <c r="C45" t="inlineStr">
        <is>
          <t>Furniture</t>
        </is>
      </c>
      <c r="D45" t="n">
        <v>3</v>
      </c>
      <c r="E45" t="n">
        <v>399.99</v>
      </c>
      <c r="F45" t="n">
        <v>20</v>
      </c>
      <c r="G45">
        <f>D45*E45*(1-F45/100)</f>
        <v/>
      </c>
      <c r="H45">
        <f>G45*0.1</f>
        <v/>
      </c>
      <c r="I45">
        <f>G45+H45</f>
        <v/>
      </c>
      <c r="J45" t="n">
        <v>20</v>
      </c>
      <c r="K45">
        <f>I45*J45/100</f>
        <v/>
      </c>
    </row>
    <row r="46">
      <c r="A46" t="inlineStr">
        <is>
          <t>2026-01-08</t>
        </is>
      </c>
      <c r="B46" t="inlineStr">
        <is>
          <t>Keyboard</t>
        </is>
      </c>
      <c r="C46" t="inlineStr">
        <is>
          <t>Electronics</t>
        </is>
      </c>
      <c r="D46" t="n">
        <v>9</v>
      </c>
      <c r="E46" t="n">
        <v>79.98999999999999</v>
      </c>
      <c r="F46" t="n">
        <v>10</v>
      </c>
      <c r="G46">
        <f>D46*E46*(1-F46/100)</f>
        <v/>
      </c>
      <c r="H46">
        <f>G46*0.1</f>
        <v/>
      </c>
      <c r="I46">
        <f>G46+H46</f>
        <v/>
      </c>
      <c r="J46" t="n">
        <v>36</v>
      </c>
      <c r="K46">
        <f>I46*J46/100</f>
        <v/>
      </c>
    </row>
    <row r="47">
      <c r="A47" t="inlineStr">
        <is>
          <t>2026-02-07</t>
        </is>
      </c>
      <c r="B47" t="inlineStr">
        <is>
          <t>Desk</t>
        </is>
      </c>
      <c r="C47" t="inlineStr">
        <is>
          <t>Furniture</t>
        </is>
      </c>
      <c r="D47" t="n">
        <v>10</v>
      </c>
      <c r="E47" t="n">
        <v>399.99</v>
      </c>
      <c r="F47" t="n">
        <v>20</v>
      </c>
      <c r="G47">
        <f>D47*E47*(1-F47/100)</f>
        <v/>
      </c>
      <c r="H47">
        <f>G47*0.1</f>
        <v/>
      </c>
      <c r="I47">
        <f>G47+H47</f>
        <v/>
      </c>
      <c r="J47" t="n">
        <v>36</v>
      </c>
      <c r="K47">
        <f>I47*J47/100</f>
        <v/>
      </c>
    </row>
    <row r="48">
      <c r="A48" t="inlineStr">
        <is>
          <t>2026-02-01</t>
        </is>
      </c>
      <c r="B48" t="inlineStr">
        <is>
          <t>Laptop</t>
        </is>
      </c>
      <c r="C48" t="inlineStr">
        <is>
          <t>Electronics</t>
        </is>
      </c>
      <c r="D48" t="n">
        <v>5</v>
      </c>
      <c r="E48" t="n">
        <v>999.99</v>
      </c>
      <c r="F48" t="n">
        <v>15</v>
      </c>
      <c r="G48">
        <f>D48*E48*(1-F48/100)</f>
        <v/>
      </c>
      <c r="H48">
        <f>G48*0.1</f>
        <v/>
      </c>
      <c r="I48">
        <f>G48+H48</f>
        <v/>
      </c>
      <c r="J48" t="n">
        <v>39</v>
      </c>
      <c r="K48">
        <f>I48*J48/100</f>
        <v/>
      </c>
    </row>
    <row r="49">
      <c r="A49" t="inlineStr">
        <is>
          <t>2026-01-10</t>
        </is>
      </c>
      <c r="B49" t="inlineStr">
        <is>
          <t>Monitor</t>
        </is>
      </c>
      <c r="C49" t="inlineStr">
        <is>
          <t>Electronics</t>
        </is>
      </c>
      <c r="D49" t="n">
        <v>6</v>
      </c>
      <c r="E49" t="n">
        <v>299.99</v>
      </c>
      <c r="F49" t="n">
        <v>0</v>
      </c>
      <c r="G49">
        <f>D49*E49*(1-F49/100)</f>
        <v/>
      </c>
      <c r="H49">
        <f>G49*0.1</f>
        <v/>
      </c>
      <c r="I49">
        <f>G49+H49</f>
        <v/>
      </c>
      <c r="J49" t="n">
        <v>38</v>
      </c>
      <c r="K49">
        <f>I49*J49/100</f>
        <v/>
      </c>
    </row>
    <row r="50">
      <c r="A50" t="inlineStr">
        <is>
          <t>2026-01-27</t>
        </is>
      </c>
      <c r="B50" t="inlineStr">
        <is>
          <t>Keyboard</t>
        </is>
      </c>
      <c r="C50" t="inlineStr">
        <is>
          <t>Electronics</t>
        </is>
      </c>
      <c r="D50" t="n">
        <v>4</v>
      </c>
      <c r="E50" t="n">
        <v>79.98999999999999</v>
      </c>
      <c r="F50" t="n">
        <v>5</v>
      </c>
      <c r="G50">
        <f>D50*E50*(1-F50/100)</f>
        <v/>
      </c>
      <c r="H50">
        <f>G50*0.1</f>
        <v/>
      </c>
      <c r="I50">
        <f>G50+H50</f>
        <v/>
      </c>
      <c r="J50" t="n">
        <v>24</v>
      </c>
      <c r="K50">
        <f>I50*J50/100</f>
        <v/>
      </c>
    </row>
    <row r="51">
      <c r="A51" t="inlineStr">
        <is>
          <t>2026-01-14</t>
        </is>
      </c>
      <c r="B51" t="inlineStr">
        <is>
          <t>Keyboard</t>
        </is>
      </c>
      <c r="C51" t="inlineStr">
        <is>
          <t>Electronics</t>
        </is>
      </c>
      <c r="D51" t="n">
        <v>7</v>
      </c>
      <c r="E51" t="n">
        <v>79.98999999999999</v>
      </c>
      <c r="F51" t="n">
        <v>15</v>
      </c>
      <c r="G51">
        <f>D51*E51*(1-F51/100)</f>
        <v/>
      </c>
      <c r="H51">
        <f>G51*0.1</f>
        <v/>
      </c>
      <c r="I51">
        <f>G51+H51</f>
        <v/>
      </c>
      <c r="J51" t="n">
        <v>20</v>
      </c>
      <c r="K51">
        <f>I51*J51/100</f>
        <v/>
      </c>
    </row>
    <row r="52">
      <c r="A52" s="6" t="inlineStr">
        <is>
          <t>TOTALS</t>
        </is>
      </c>
      <c r="D52" s="6">
        <f>SUM(D2:D51)</f>
        <v/>
      </c>
      <c r="G52" s="6">
        <f>SUM(G2:G51)</f>
        <v/>
      </c>
      <c r="H52" s="6">
        <f>SUM(H2:H51)</f>
        <v/>
      </c>
      <c r="I52" s="6">
        <f>SUM(I2:I51)</f>
        <v/>
      </c>
      <c r="K52" s="6">
        <f>SUM(K2:K51)</f>
        <v/>
      </c>
    </row>
  </sheetData>
  <conditionalFormatting sqref="I2:I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2026-02-07T01:24:06Z</dcterms:created>
  <dcterms:modified xsi:type="dcterms:W3CDTF">2026-02-07T01:25:00Z</dcterms:modified>
</cp:coreProperties>
</file>