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ask Entry" sheetId="2" state="visible" r:id="rId2"/>
    <sheet name="Development" sheetId="3" state="visible" r:id="rId3"/>
    <sheet name="Design" sheetId="4" state="visible" r:id="rId4"/>
    <sheet name="Marketing" sheetId="5" state="visible" r:id="rId5"/>
    <sheet name="Sales" sheetId="6" state="visible" r:id="rId6"/>
    <sheet name="Support" sheetId="7" state="visible" r:id="rId7"/>
    <sheet name="Admin" sheetId="8" state="visible" r:id="rId8"/>
    <sheet name="Planning" sheetId="9" state="visible" r:id="rId9"/>
    <sheet name="Research" sheetId="10" state="visible" r:id="rId10"/>
    <sheet name="Team View" sheetId="11" state="visible" r:id="rId11"/>
    <sheet name="Analytics" sheetId="12" state="visible" r:id="rId12"/>
    <sheet name="Archiv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7F8C8D"/>
    </font>
    <font>
      <b val="1"/>
      <color rgb="002C3E50"/>
      <sz val="14"/>
    </font>
    <font>
      <b val="1"/>
      <color rgb="00FFFFFF"/>
      <sz val="11"/>
    </font>
    <font>
      <b val="1"/>
      <color rgb="002C3E50"/>
      <sz val="18"/>
    </font>
    <font>
      <b val="1"/>
      <color rgb="00E74C3C"/>
      <sz val="14"/>
    </font>
    <font>
      <b val="1"/>
      <color rgb="002C3E50"/>
      <sz val="12"/>
    </font>
    <font>
      <color rgb="007F8C8D"/>
      <sz val="10"/>
    </font>
    <font>
      <b val="1"/>
      <color rgb="00FFFFFF"/>
      <sz val="12"/>
    </font>
    <font>
      <b val="1"/>
      <color rgb="00FFFFFF"/>
      <sz val="16"/>
    </font>
    <font>
      <b val="1"/>
      <color rgb="00FFFFFF"/>
    </font>
    <font>
      <b val="1"/>
      <color rgb="002C3E50"/>
      <sz val="16"/>
    </font>
    <font>
      <b val="1"/>
      <sz val="12"/>
    </font>
    <font>
      <b val="1"/>
    </font>
    <font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98DB"/>
        <bgColor rgb="003498DB"/>
      </patternFill>
    </fill>
    <fill>
      <patternFill patternType="solid">
        <fgColor rgb="00E74C3C"/>
        <bgColor rgb="00E74C3C"/>
      </patternFill>
    </fill>
    <fill>
      <patternFill patternType="solid">
        <fgColor rgb="0027AE60"/>
        <bgColor rgb="0027AE60"/>
      </patternFill>
    </fill>
    <fill>
      <patternFill patternType="solid">
        <fgColor rgb="008E44AD"/>
        <bgColor rgb="008E44AD"/>
      </patternFill>
    </fill>
    <fill>
      <patternFill patternType="solid">
        <fgColor rgb="0016A085"/>
        <bgColor rgb="0016A085"/>
      </patternFill>
    </fill>
    <fill>
      <patternFill patternType="solid">
        <fgColor rgb="001ABC9C"/>
        <bgColor rgb="001ABC9C"/>
      </patternFill>
    </fill>
    <fill>
      <patternFill patternType="solid">
        <fgColor rgb="007F8C8D"/>
        <bgColor rgb="007F8C8D"/>
      </patternFill>
    </fill>
    <fill>
      <patternFill patternType="solid">
        <fgColor rgb="00BDC3C7"/>
        <bgColor rgb="00BDC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0" fontId="0" fillId="0" borderId="0" pivotButton="0" quotePrefix="0" xfId="0"/>
    <xf numFmtId="0" fontId="15" fillId="9" borderId="0" pivotButton="0" quotePrefix="0" xfId="0"/>
    <xf numFmtId="0" fontId="14" fillId="10" borderId="0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C0392B"/>
          <bgColor rgb="00C0392B"/>
        </patternFill>
      </fill>
    </dxf>
    <dxf>
      <font>
        <b val="1"/>
        <color rgb="00FFFFFF"/>
      </font>
      <fill>
        <patternFill patternType="solid">
          <fgColor rgb="00E74C3C"/>
          <bgColor rgb="00E74C3C"/>
        </patternFill>
      </fill>
    </dxf>
    <dxf>
      <font>
        <b val="1"/>
        <color rgb="00FFFFFF"/>
      </font>
      <fill>
        <patternFill patternType="solid">
          <fgColor rgb="00F39C12"/>
          <bgColor rgb="00F39C12"/>
        </patternFill>
      </fill>
    </dxf>
    <dxf>
      <font>
        <b val="1"/>
        <color rgb="00FFFFFF"/>
      </font>
      <fill>
        <patternFill patternType="solid">
          <fgColor rgb="0027AE60"/>
          <bgColor rgb="0027AE60"/>
        </patternFill>
      </fill>
    </dxf>
    <dxf>
      <font>
        <b val="1"/>
        <color rgb="00FFFFFF"/>
      </font>
      <fill>
        <patternFill patternType="solid">
          <fgColor rgb="003498DB"/>
          <bgColor rgb="003498DB"/>
        </patternFill>
      </fill>
    </dxf>
    <dxf>
      <font>
        <b val="1"/>
        <color rgb="00FFFFFF"/>
      </font>
      <fill>
        <patternFill patternType="solid">
          <fgColor rgb="0095A5A6"/>
          <bgColor rgb="0095A5A6"/>
        </patternFill>
      </fill>
    </dxf>
    <dxf>
      <font>
        <b val="1"/>
        <color rgb="00FFFFFF"/>
      </font>
      <fill>
        <patternFill patternType="solid">
          <fgColor rgb="007F8C8D"/>
          <bgColor rgb="007F8C8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15" customWidth="1" min="2" max="2"/>
    <col width="15" customWidth="1" min="3" max="3"/>
    <col width="15" customWidth="1" min="4" max="4"/>
    <col width="20" customWidth="1" min="5" max="5"/>
    <col width="20" customWidth="1" min="6" max="6"/>
    <col width="15" customWidth="1" min="7" max="7"/>
  </cols>
  <sheetData>
    <row r="1" ht="35" customHeight="1">
      <c r="A1" s="1" t="inlineStr">
        <is>
          <t>📊 LIVE TASK DASHBOARD</t>
        </is>
      </c>
    </row>
    <row r="2">
      <c r="A2" t="inlineStr">
        <is>
          <t>Last Updated:</t>
        </is>
      </c>
      <c r="B2" s="2" t="inlineStr">
        <is>
          <t>2026-02-07 12:34:41</t>
        </is>
      </c>
    </row>
    <row r="4">
      <c r="A4" s="3" t="inlineStr">
        <is>
          <t>🎯 KEY PERFORMANCE INDICATORS</t>
        </is>
      </c>
    </row>
    <row r="6" ht="25" customHeight="1">
      <c r="A6" s="4" t="inlineStr">
        <is>
          <t>Total Tasks</t>
        </is>
      </c>
      <c r="C6" s="4" t="inlineStr">
        <is>
          <t>Active Tasks</t>
        </is>
      </c>
      <c r="E6" s="4" t="inlineStr">
        <is>
          <t>Completed</t>
        </is>
      </c>
      <c r="G6" s="4" t="inlineStr">
        <is>
          <t>Overdue</t>
        </is>
      </c>
    </row>
    <row r="7" ht="35" customHeight="1">
      <c r="A7" s="5">
        <f>COUNTA('Task Entry'!A:A)-1</f>
        <v/>
      </c>
      <c r="C7" s="5">
        <f>COUNTIFS('Task Entry'!F:F,"In Progress",'Task Entry'!F:F,"Not Started")</f>
        <v/>
      </c>
      <c r="E7" s="5">
        <f>COUNTIF('Task Entry'!F:F,"Completed")</f>
        <v/>
      </c>
      <c r="G7" s="5">
        <f>COUNTIF('Task Entry'!E:E,"&lt;"&amp;TODAY())</f>
        <v/>
      </c>
    </row>
    <row r="9">
      <c r="A9" s="6" t="inlineStr">
        <is>
          <t>⚠️ OUTSTANDING INCOMPLETE TASKS</t>
        </is>
      </c>
    </row>
    <row r="10" ht="25" customHeight="1">
      <c r="A10" s="7" t="inlineStr">
        <is>
          <t>Task ID</t>
        </is>
      </c>
      <c r="B10" s="7" t="inlineStr">
        <is>
          <t>Task Name</t>
        </is>
      </c>
      <c r="C10" s="7" t="inlineStr">
        <is>
          <t>Category</t>
        </is>
      </c>
      <c r="D10" s="7" t="inlineStr">
        <is>
          <t>Assigned To</t>
        </is>
      </c>
      <c r="E10" s="7" t="inlineStr">
        <is>
          <t>Priority</t>
        </is>
      </c>
      <c r="F10" s="7" t="inlineStr">
        <is>
          <t>Due Date</t>
        </is>
      </c>
      <c r="G10" s="7" t="inlineStr">
        <is>
          <t>Status</t>
        </is>
      </c>
    </row>
    <row r="11">
      <c r="A11">
        <f>IF(ROWS(A$11:A11)&gt;COUNTIFS('Task Entry'!F:F,"&lt;&gt;Completed",'Task Entry'!F:F,"&lt;&gt;Cancelled"),"",INDEX('Task Entry'!A:A,SMALL(IF('Task Entry'!F$2:F$1000&lt;&gt;"Completed",IF('Task Entry'!F$2:F$1000&lt;&gt;"Cancelled",ROW('Task Entry'!F$2:F$1000))),ROWS(A$11:A11))))</f>
        <v/>
      </c>
    </row>
    <row r="32">
      <c r="A32" s="8" t="inlineStr">
        <is>
          <t>📝 HOW TO USE THIS DASHBOARD:</t>
        </is>
      </c>
    </row>
    <row r="33">
      <c r="A33" s="9" t="inlineStr">
        <is>
          <t>1. This dashboard updates automatically when you add tasks</t>
        </is>
      </c>
    </row>
    <row r="34">
      <c r="A34" s="9" t="inlineStr">
        <is>
          <t>2. All incomplete tasks are shown in the red table above</t>
        </is>
      </c>
    </row>
    <row r="35">
      <c r="A35" s="9" t="inlineStr">
        <is>
          <t>3. KPIs update in real-time based on task status</t>
        </is>
      </c>
    </row>
    <row r="36">
      <c r="A36" s="9" t="inlineStr">
        <is>
          <t>4. Go to 'Task Entry' sheet to add new tasks</t>
        </is>
      </c>
    </row>
    <row r="37">
      <c r="A37" s="9" t="inlineStr">
        <is>
          <t>5. Tasks automatically route to category sheets</t>
        </is>
      </c>
    </row>
    <row r="38">
      <c r="A38" s="9" t="inlineStr">
        <is>
          <t>6. Refresh (F9) to update live data</t>
        </is>
      </c>
    </row>
  </sheetData>
  <mergeCells count="9">
    <mergeCell ref="E6:F6"/>
    <mergeCell ref="C6:D6"/>
    <mergeCell ref="A1:G1"/>
    <mergeCell ref="A7:B7"/>
    <mergeCell ref="C7:D7"/>
    <mergeCell ref="E7:F7"/>
    <mergeCell ref="A9:G9"/>
    <mergeCell ref="A4:G4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0" customWidth="1" min="2" max="2"/>
    <col width="15" customWidth="1" min="3" max="3"/>
    <col width="25" customWidth="1" min="4" max="4"/>
    <col width="12" customWidth="1" min="5" max="5"/>
    <col width="15" customWidth="1" min="6" max="6"/>
    <col width="15" customWidth="1" min="7" max="7"/>
    <col width="12" customWidth="1" min="8" max="8"/>
    <col width="40" customWidth="1" min="9" max="9"/>
    <col width="20" customWidth="1" min="10" max="10"/>
  </cols>
  <sheetData>
    <row r="1" ht="30" customHeight="1">
      <c r="A1" s="10" t="inlineStr">
        <is>
          <t>Task ID</t>
        </is>
      </c>
      <c r="B1" s="10" t="inlineStr">
        <is>
          <t>Task Name</t>
        </is>
      </c>
      <c r="C1" s="10" t="inlineStr">
        <is>
          <t>Category</t>
        </is>
      </c>
      <c r="D1" s="10" t="inlineStr">
        <is>
          <t>Assigned To</t>
        </is>
      </c>
      <c r="E1" s="10" t="inlineStr">
        <is>
          <t>Priority</t>
        </is>
      </c>
      <c r="F1" s="10" t="inlineStr">
        <is>
          <t>Due Date</t>
        </is>
      </c>
      <c r="G1" s="10" t="inlineStr">
        <is>
          <t>Status</t>
        </is>
      </c>
      <c r="H1" s="10" t="inlineStr">
        <is>
          <t>Progress %</t>
        </is>
      </c>
      <c r="I1" s="10" t="inlineStr">
        <is>
          <t>Description</t>
        </is>
      </c>
      <c r="J1" s="10" t="inlineStr">
        <is>
          <t>Created Date</t>
        </is>
      </c>
    </row>
    <row r="2">
      <c r="A2">
        <f>ROW()-1</f>
        <v/>
      </c>
      <c r="B2" t="inlineStr">
        <is>
          <t>Sample Task - Delete Me</t>
        </is>
      </c>
      <c r="C2" t="inlineStr">
        <is>
          <t>Development</t>
        </is>
      </c>
      <c r="D2" t="inlineStr">
        <is>
          <t>John Doe</t>
        </is>
      </c>
      <c r="E2" t="inlineStr">
        <is>
          <t>Medium</t>
        </is>
      </c>
      <c r="F2" t="inlineStr">
        <is>
          <t>2026-02-14</t>
        </is>
      </c>
      <c r="G2" t="inlineStr">
        <is>
          <t>Not Started</t>
        </is>
      </c>
      <c r="H2" t="n">
        <v>0</v>
      </c>
      <c r="I2" t="inlineStr">
        <is>
          <t>This is a sample task. Delete this row and add your own tasks.</t>
        </is>
      </c>
      <c r="J2" t="inlineStr">
        <is>
          <t>2026-02-07</t>
        </is>
      </c>
    </row>
    <row r="3">
      <c r="A3" t="n">
        <v>2</v>
      </c>
      <c r="B3" t="inlineStr">
        <is>
          <t>Build authentication system</t>
        </is>
      </c>
      <c r="C3" t="inlineStr">
        <is>
          <t>Development</t>
        </is>
      </c>
      <c r="D3" t="inlineStr">
        <is>
          <t>Alice Smith</t>
        </is>
      </c>
      <c r="E3" t="inlineStr">
        <is>
          <t>High</t>
        </is>
      </c>
      <c r="F3" t="inlineStr">
        <is>
          <t>2026-02-12</t>
        </is>
      </c>
      <c r="G3" t="inlineStr">
        <is>
          <t>In Progress</t>
        </is>
      </c>
      <c r="H3" t="n">
        <v>30</v>
      </c>
      <c r="I3" t="inlineStr">
        <is>
          <t>Implement JWT authentication for API</t>
        </is>
      </c>
      <c r="J3" t="inlineStr">
        <is>
          <t>2026-02-07</t>
        </is>
      </c>
    </row>
    <row r="4">
      <c r="A4" t="n">
        <v>3</v>
      </c>
      <c r="B4" t="inlineStr">
        <is>
          <t>Design landing page mockup</t>
        </is>
      </c>
      <c r="C4" t="inlineStr">
        <is>
          <t>Design</t>
        </is>
      </c>
      <c r="D4" t="inlineStr">
        <is>
          <t>Bob Johnson</t>
        </is>
      </c>
      <c r="E4" t="inlineStr">
        <is>
          <t>Medium</t>
        </is>
      </c>
      <c r="F4" t="inlineStr">
        <is>
          <t>2026-02-10</t>
        </is>
      </c>
      <c r="G4" t="inlineStr">
        <is>
          <t>Not Started</t>
        </is>
      </c>
      <c r="H4" t="n">
        <v>0</v>
      </c>
      <c r="I4" t="inlineStr">
        <is>
          <t>Create wireframes and high-fidelity mockups</t>
        </is>
      </c>
      <c r="J4" t="inlineStr">
        <is>
          <t>2026-02-07</t>
        </is>
      </c>
    </row>
    <row r="5">
      <c r="A5" t="n">
        <v>4</v>
      </c>
      <c r="B5" t="inlineStr">
        <is>
          <t>Write product documentation</t>
        </is>
      </c>
      <c r="C5" t="inlineStr">
        <is>
          <t>Admin</t>
        </is>
      </c>
      <c r="D5" t="inlineStr">
        <is>
          <t>Carol Davis</t>
        </is>
      </c>
      <c r="E5" t="inlineStr">
        <is>
          <t>Low</t>
        </is>
      </c>
      <c r="F5" t="inlineStr">
        <is>
          <t>2026-02-17</t>
        </is>
      </c>
      <c r="G5" t="inlineStr">
        <is>
          <t>Not Started</t>
        </is>
      </c>
      <c r="H5" t="n">
        <v>0</v>
      </c>
      <c r="I5" t="inlineStr">
        <is>
          <t>Document API endpoints and usage</t>
        </is>
      </c>
      <c r="J5" t="inlineStr">
        <is>
          <t>2026-02-07</t>
        </is>
      </c>
    </row>
    <row r="6">
      <c r="A6" t="n">
        <v>5</v>
      </c>
      <c r="B6" t="inlineStr">
        <is>
          <t>Plan Q1 marketing campaign</t>
        </is>
      </c>
      <c r="C6" t="inlineStr">
        <is>
          <t>Marketing</t>
        </is>
      </c>
      <c r="D6" t="inlineStr">
        <is>
          <t>David Lee</t>
        </is>
      </c>
      <c r="E6" t="inlineStr">
        <is>
          <t>Critical</t>
        </is>
      </c>
      <c r="F6" t="inlineStr">
        <is>
          <t>2026-02-09</t>
        </is>
      </c>
      <c r="G6" t="inlineStr">
        <is>
          <t>In Progress</t>
        </is>
      </c>
      <c r="H6" t="n">
        <v>60</v>
      </c>
      <c r="I6" t="inlineStr">
        <is>
          <t>Prepare marketing strategy for Q1</t>
        </is>
      </c>
      <c r="J6" t="inlineStr">
        <is>
          <t>2026-02-07</t>
        </is>
      </c>
    </row>
    <row r="7">
      <c r="A7" t="n">
        <v>6</v>
      </c>
      <c r="B7" t="inlineStr">
        <is>
          <t>Customer support training</t>
        </is>
      </c>
      <c r="C7" t="inlineStr">
        <is>
          <t>Support</t>
        </is>
      </c>
      <c r="D7" t="inlineStr">
        <is>
          <t>Emma Wilson</t>
        </is>
      </c>
      <c r="E7" t="inlineStr">
        <is>
          <t>Medium</t>
        </is>
      </c>
      <c r="F7" t="inlineStr">
        <is>
          <t>2026-02-14</t>
        </is>
      </c>
      <c r="G7" t="inlineStr">
        <is>
          <t>Not Started</t>
        </is>
      </c>
      <c r="H7" t="n">
        <v>0</v>
      </c>
      <c r="I7" t="inlineStr">
        <is>
          <t>Train new support team members</t>
        </is>
      </c>
      <c r="J7" t="inlineStr">
        <is>
          <t>2026-02-07</t>
        </is>
      </c>
    </row>
  </sheetData>
  <conditionalFormatting sqref="E2:E10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G2:G1000">
    <cfRule type="cellIs" priority="5" operator="equal" dxfId="3">
      <formula>"Completed"</formula>
    </cfRule>
    <cfRule type="cellIs" priority="6" operator="equal" dxfId="4">
      <formula>"In Progress"</formula>
    </cfRule>
    <cfRule type="cellIs" priority="7" operator="equal" dxfId="2">
      <formula>"On Hold"</formula>
    </cfRule>
    <cfRule type="cellIs" priority="8" operator="equal" dxfId="5">
      <formula>"Not Started"</formula>
    </cfRule>
    <cfRule type="cellIs" priority="9" operator="equal" dxfId="6">
      <formula>"Cancelled"</formula>
    </cfRule>
  </conditionalFormatting>
  <dataValidations count="3">
    <dataValidation sqref="C2:C1000" showDropDown="0" showInputMessage="0" showErrorMessage="0" allowBlank="0" type="list">
      <formula1>"Development,Design,Marketing,Sales,Support,Admin,Planning,Research"</formula1>
    </dataValidation>
    <dataValidation sqref="E2:E1000" showDropDown="0" showInputMessage="0" showErrorMessage="0" allowBlank="0" type="list">
      <formula1>"Low,Medium,High,Critical"</formula1>
    </dataValidation>
    <dataValidation sqref="G2:G1000" showDropDown="0" showInputMessage="0" showErrorMessage="0" allowBlank="0" type="list">
      <formula1>"Not Started,In Progress,On Hold,Completed,Cancelled"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0" customWidth="1" min="2" max="2"/>
    <col width="25" customWidth="1" min="3" max="3"/>
    <col width="12" customWidth="1" min="4" max="4"/>
    <col width="15" customWidth="1" min="5" max="5"/>
    <col width="15" customWidth="1" min="6" max="6"/>
    <col width="12" customWidth="1" min="7" max="7"/>
    <col width="40" customWidth="1" min="8" max="8"/>
    <col width="20" customWidth="1" min="9" max="9"/>
    <col width="20" customWidth="1" min="10" max="10"/>
    <col width="40" customWidth="1" min="11" max="11"/>
  </cols>
  <sheetData>
    <row r="1">
      <c r="A1" s="11" t="inlineStr">
        <is>
          <t>Task ID</t>
        </is>
      </c>
      <c r="B1" s="11" t="inlineStr">
        <is>
          <t>Task Name</t>
        </is>
      </c>
      <c r="C1" s="11" t="inlineStr">
        <is>
          <t>Assigned To</t>
        </is>
      </c>
      <c r="D1" s="11" t="inlineStr">
        <is>
          <t>Priority</t>
        </is>
      </c>
      <c r="E1" s="11" t="inlineStr">
        <is>
          <t>Due Date</t>
        </is>
      </c>
      <c r="F1" s="11" t="inlineStr">
        <is>
          <t>Status</t>
        </is>
      </c>
      <c r="G1" s="11" t="inlineStr">
        <is>
          <t>Progress %</t>
        </is>
      </c>
      <c r="H1" s="11" t="inlineStr">
        <is>
          <t>Description</t>
        </is>
      </c>
      <c r="I1" s="11" t="inlineStr">
        <is>
          <t>Created Date</t>
        </is>
      </c>
      <c r="J1" s="11" t="inlineStr">
        <is>
          <t>Completed Date</t>
        </is>
      </c>
      <c r="K1" s="11" t="inlineStr">
        <is>
          <t>Notes</t>
        </is>
      </c>
    </row>
    <row r="2">
      <c r="A2" s="2" t="inlineStr">
        <is>
          <t>Tasks from "Development" category will automatically appear here</t>
        </is>
      </c>
    </row>
  </sheetData>
  <mergeCells count="1">
    <mergeCell ref="A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0" customWidth="1" min="2" max="2"/>
    <col width="25" customWidth="1" min="3" max="3"/>
    <col width="12" customWidth="1" min="4" max="4"/>
    <col width="15" customWidth="1" min="5" max="5"/>
    <col width="15" customWidth="1" min="6" max="6"/>
    <col width="12" customWidth="1" min="7" max="7"/>
    <col width="40" customWidth="1" min="8" max="8"/>
    <col width="20" customWidth="1" min="9" max="9"/>
    <col width="20" customWidth="1" min="10" max="10"/>
    <col width="40" customWidth="1" min="11" max="11"/>
  </cols>
  <sheetData>
    <row r="1">
      <c r="A1" s="11" t="inlineStr">
        <is>
          <t>Task ID</t>
        </is>
      </c>
      <c r="B1" s="11" t="inlineStr">
        <is>
          <t>Task Name</t>
        </is>
      </c>
      <c r="C1" s="11" t="inlineStr">
        <is>
          <t>Assigned To</t>
        </is>
      </c>
      <c r="D1" s="11" t="inlineStr">
        <is>
          <t>Priority</t>
        </is>
      </c>
      <c r="E1" s="11" t="inlineStr">
        <is>
          <t>Due Date</t>
        </is>
      </c>
      <c r="F1" s="11" t="inlineStr">
        <is>
          <t>Status</t>
        </is>
      </c>
      <c r="G1" s="11" t="inlineStr">
        <is>
          <t>Progress %</t>
        </is>
      </c>
      <c r="H1" s="11" t="inlineStr">
        <is>
          <t>Description</t>
        </is>
      </c>
      <c r="I1" s="11" t="inlineStr">
        <is>
          <t>Created Date</t>
        </is>
      </c>
      <c r="J1" s="11" t="inlineStr">
        <is>
          <t>Completed Date</t>
        </is>
      </c>
      <c r="K1" s="11" t="inlineStr">
        <is>
          <t>Notes</t>
        </is>
      </c>
    </row>
    <row r="2">
      <c r="A2" s="2" t="inlineStr">
        <is>
          <t>Tasks from "Design" category will automatically appear here</t>
        </is>
      </c>
    </row>
  </sheetData>
  <mergeCells count="1"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0" customWidth="1" min="2" max="2"/>
    <col width="25" customWidth="1" min="3" max="3"/>
    <col width="12" customWidth="1" min="4" max="4"/>
    <col width="15" customWidth="1" min="5" max="5"/>
    <col width="15" customWidth="1" min="6" max="6"/>
    <col width="12" customWidth="1" min="7" max="7"/>
    <col width="40" customWidth="1" min="8" max="8"/>
    <col width="20" customWidth="1" min="9" max="9"/>
    <col width="20" customWidth="1" min="10" max="10"/>
    <col width="40" customWidth="1" min="11" max="11"/>
  </cols>
  <sheetData>
    <row r="1">
      <c r="A1" s="11" t="inlineStr">
        <is>
          <t>Task ID</t>
        </is>
      </c>
      <c r="B1" s="11" t="inlineStr">
        <is>
          <t>Task Name</t>
        </is>
      </c>
      <c r="C1" s="11" t="inlineStr">
        <is>
          <t>Assigned To</t>
        </is>
      </c>
      <c r="D1" s="11" t="inlineStr">
        <is>
          <t>Priority</t>
        </is>
      </c>
      <c r="E1" s="11" t="inlineStr">
        <is>
          <t>Due Date</t>
        </is>
      </c>
      <c r="F1" s="11" t="inlineStr">
        <is>
          <t>Status</t>
        </is>
      </c>
      <c r="G1" s="11" t="inlineStr">
        <is>
          <t>Progress %</t>
        </is>
      </c>
      <c r="H1" s="11" t="inlineStr">
        <is>
          <t>Description</t>
        </is>
      </c>
      <c r="I1" s="11" t="inlineStr">
        <is>
          <t>Created Date</t>
        </is>
      </c>
      <c r="J1" s="11" t="inlineStr">
        <is>
          <t>Completed Date</t>
        </is>
      </c>
      <c r="K1" s="11" t="inlineStr">
        <is>
          <t>Notes</t>
        </is>
      </c>
    </row>
    <row r="2">
      <c r="A2" s="2" t="inlineStr">
        <is>
          <t>Tasks from "Marketing" category will automatically appear here</t>
        </is>
      </c>
    </row>
  </sheetData>
  <mergeCells count="1">
    <mergeCell ref="A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0" customWidth="1" min="2" max="2"/>
    <col width="25" customWidth="1" min="3" max="3"/>
    <col width="12" customWidth="1" min="4" max="4"/>
    <col width="15" customWidth="1" min="5" max="5"/>
    <col width="15" customWidth="1" min="6" max="6"/>
    <col width="12" customWidth="1" min="7" max="7"/>
    <col width="40" customWidth="1" min="8" max="8"/>
    <col width="20" customWidth="1" min="9" max="9"/>
    <col width="20" customWidth="1" min="10" max="10"/>
    <col width="40" customWidth="1" min="11" max="11"/>
  </cols>
  <sheetData>
    <row r="1">
      <c r="A1" s="11" t="inlineStr">
        <is>
          <t>Task ID</t>
        </is>
      </c>
      <c r="B1" s="11" t="inlineStr">
        <is>
          <t>Task Name</t>
        </is>
      </c>
      <c r="C1" s="11" t="inlineStr">
        <is>
          <t>Assigned To</t>
        </is>
      </c>
      <c r="D1" s="11" t="inlineStr">
        <is>
          <t>Priority</t>
        </is>
      </c>
      <c r="E1" s="11" t="inlineStr">
        <is>
          <t>Due Date</t>
        </is>
      </c>
      <c r="F1" s="11" t="inlineStr">
        <is>
          <t>Status</t>
        </is>
      </c>
      <c r="G1" s="11" t="inlineStr">
        <is>
          <t>Progress %</t>
        </is>
      </c>
      <c r="H1" s="11" t="inlineStr">
        <is>
          <t>Description</t>
        </is>
      </c>
      <c r="I1" s="11" t="inlineStr">
        <is>
          <t>Created Date</t>
        </is>
      </c>
      <c r="J1" s="11" t="inlineStr">
        <is>
          <t>Completed Date</t>
        </is>
      </c>
      <c r="K1" s="11" t="inlineStr">
        <is>
          <t>Notes</t>
        </is>
      </c>
    </row>
    <row r="2">
      <c r="A2" s="2" t="inlineStr">
        <is>
          <t>Tasks from "Sales" category will automatically appear here</t>
        </is>
      </c>
    </row>
  </sheetData>
  <mergeCells count="1">
    <mergeCell ref="A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0" customWidth="1" min="2" max="2"/>
    <col width="25" customWidth="1" min="3" max="3"/>
    <col width="12" customWidth="1" min="4" max="4"/>
    <col width="15" customWidth="1" min="5" max="5"/>
    <col width="15" customWidth="1" min="6" max="6"/>
    <col width="12" customWidth="1" min="7" max="7"/>
    <col width="40" customWidth="1" min="8" max="8"/>
    <col width="20" customWidth="1" min="9" max="9"/>
    <col width="20" customWidth="1" min="10" max="10"/>
    <col width="40" customWidth="1" min="11" max="11"/>
  </cols>
  <sheetData>
    <row r="1">
      <c r="A1" s="11" t="inlineStr">
        <is>
          <t>Task ID</t>
        </is>
      </c>
      <c r="B1" s="11" t="inlineStr">
        <is>
          <t>Task Name</t>
        </is>
      </c>
      <c r="C1" s="11" t="inlineStr">
        <is>
          <t>Assigned To</t>
        </is>
      </c>
      <c r="D1" s="11" t="inlineStr">
        <is>
          <t>Priority</t>
        </is>
      </c>
      <c r="E1" s="11" t="inlineStr">
        <is>
          <t>Due Date</t>
        </is>
      </c>
      <c r="F1" s="11" t="inlineStr">
        <is>
          <t>Status</t>
        </is>
      </c>
      <c r="G1" s="11" t="inlineStr">
        <is>
          <t>Progress %</t>
        </is>
      </c>
      <c r="H1" s="11" t="inlineStr">
        <is>
          <t>Description</t>
        </is>
      </c>
      <c r="I1" s="11" t="inlineStr">
        <is>
          <t>Created Date</t>
        </is>
      </c>
      <c r="J1" s="11" t="inlineStr">
        <is>
          <t>Completed Date</t>
        </is>
      </c>
      <c r="K1" s="11" t="inlineStr">
        <is>
          <t>Notes</t>
        </is>
      </c>
    </row>
    <row r="2">
      <c r="A2" s="2" t="inlineStr">
        <is>
          <t>Tasks from "Support" category will automatically appear here</t>
        </is>
      </c>
    </row>
  </sheetData>
  <mergeCells count="1">
    <mergeCell ref="A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0" customWidth="1" min="2" max="2"/>
    <col width="25" customWidth="1" min="3" max="3"/>
    <col width="12" customWidth="1" min="4" max="4"/>
    <col width="15" customWidth="1" min="5" max="5"/>
    <col width="15" customWidth="1" min="6" max="6"/>
    <col width="12" customWidth="1" min="7" max="7"/>
    <col width="40" customWidth="1" min="8" max="8"/>
    <col width="20" customWidth="1" min="9" max="9"/>
    <col width="20" customWidth="1" min="10" max="10"/>
    <col width="40" customWidth="1" min="11" max="11"/>
  </cols>
  <sheetData>
    <row r="1">
      <c r="A1" s="11" t="inlineStr">
        <is>
          <t>Task ID</t>
        </is>
      </c>
      <c r="B1" s="11" t="inlineStr">
        <is>
          <t>Task Name</t>
        </is>
      </c>
      <c r="C1" s="11" t="inlineStr">
        <is>
          <t>Assigned To</t>
        </is>
      </c>
      <c r="D1" s="11" t="inlineStr">
        <is>
          <t>Priority</t>
        </is>
      </c>
      <c r="E1" s="11" t="inlineStr">
        <is>
          <t>Due Date</t>
        </is>
      </c>
      <c r="F1" s="11" t="inlineStr">
        <is>
          <t>Status</t>
        </is>
      </c>
      <c r="G1" s="11" t="inlineStr">
        <is>
          <t>Progress %</t>
        </is>
      </c>
      <c r="H1" s="11" t="inlineStr">
        <is>
          <t>Description</t>
        </is>
      </c>
      <c r="I1" s="11" t="inlineStr">
        <is>
          <t>Created Date</t>
        </is>
      </c>
      <c r="J1" s="11" t="inlineStr">
        <is>
          <t>Completed Date</t>
        </is>
      </c>
      <c r="K1" s="11" t="inlineStr">
        <is>
          <t>Notes</t>
        </is>
      </c>
    </row>
    <row r="2">
      <c r="A2" s="2" t="inlineStr">
        <is>
          <t>Tasks from "Admin" category will automatically appear here</t>
        </is>
      </c>
    </row>
  </sheetData>
  <mergeCells count="1">
    <mergeCell ref="A2:K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0" customWidth="1" min="2" max="2"/>
    <col width="25" customWidth="1" min="3" max="3"/>
    <col width="12" customWidth="1" min="4" max="4"/>
    <col width="15" customWidth="1" min="5" max="5"/>
    <col width="15" customWidth="1" min="6" max="6"/>
    <col width="12" customWidth="1" min="7" max="7"/>
    <col width="40" customWidth="1" min="8" max="8"/>
    <col width="20" customWidth="1" min="9" max="9"/>
    <col width="20" customWidth="1" min="10" max="10"/>
    <col width="40" customWidth="1" min="11" max="11"/>
  </cols>
  <sheetData>
    <row r="1">
      <c r="A1" s="11" t="inlineStr">
        <is>
          <t>Task ID</t>
        </is>
      </c>
      <c r="B1" s="11" t="inlineStr">
        <is>
          <t>Task Name</t>
        </is>
      </c>
      <c r="C1" s="11" t="inlineStr">
        <is>
          <t>Assigned To</t>
        </is>
      </c>
      <c r="D1" s="11" t="inlineStr">
        <is>
          <t>Priority</t>
        </is>
      </c>
      <c r="E1" s="11" t="inlineStr">
        <is>
          <t>Due Date</t>
        </is>
      </c>
      <c r="F1" s="11" t="inlineStr">
        <is>
          <t>Status</t>
        </is>
      </c>
      <c r="G1" s="11" t="inlineStr">
        <is>
          <t>Progress %</t>
        </is>
      </c>
      <c r="H1" s="11" t="inlineStr">
        <is>
          <t>Description</t>
        </is>
      </c>
      <c r="I1" s="11" t="inlineStr">
        <is>
          <t>Created Date</t>
        </is>
      </c>
      <c r="J1" s="11" t="inlineStr">
        <is>
          <t>Completed Date</t>
        </is>
      </c>
      <c r="K1" s="11" t="inlineStr">
        <is>
          <t>Notes</t>
        </is>
      </c>
    </row>
    <row r="2">
      <c r="A2" s="2" t="inlineStr">
        <is>
          <t>Tasks from "Planning" category will automatically appear here</t>
        </is>
      </c>
    </row>
  </sheetData>
  <mergeCells count="1">
    <mergeCell ref="A2: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0" customWidth="1" min="2" max="2"/>
    <col width="25" customWidth="1" min="3" max="3"/>
    <col width="12" customWidth="1" min="4" max="4"/>
    <col width="15" customWidth="1" min="5" max="5"/>
    <col width="15" customWidth="1" min="6" max="6"/>
    <col width="12" customWidth="1" min="7" max="7"/>
    <col width="40" customWidth="1" min="8" max="8"/>
    <col width="20" customWidth="1" min="9" max="9"/>
    <col width="20" customWidth="1" min="10" max="10"/>
    <col width="40" customWidth="1" min="11" max="11"/>
  </cols>
  <sheetData>
    <row r="1">
      <c r="A1" s="11" t="inlineStr">
        <is>
          <t>Task ID</t>
        </is>
      </c>
      <c r="B1" s="11" t="inlineStr">
        <is>
          <t>Task Name</t>
        </is>
      </c>
      <c r="C1" s="11" t="inlineStr">
        <is>
          <t>Assigned To</t>
        </is>
      </c>
      <c r="D1" s="11" t="inlineStr">
        <is>
          <t>Priority</t>
        </is>
      </c>
      <c r="E1" s="11" t="inlineStr">
        <is>
          <t>Due Date</t>
        </is>
      </c>
      <c r="F1" s="11" t="inlineStr">
        <is>
          <t>Status</t>
        </is>
      </c>
      <c r="G1" s="11" t="inlineStr">
        <is>
          <t>Progress %</t>
        </is>
      </c>
      <c r="H1" s="11" t="inlineStr">
        <is>
          <t>Description</t>
        </is>
      </c>
      <c r="I1" s="11" t="inlineStr">
        <is>
          <t>Created Date</t>
        </is>
      </c>
      <c r="J1" s="11" t="inlineStr">
        <is>
          <t>Completed Date</t>
        </is>
      </c>
      <c r="K1" s="11" t="inlineStr">
        <is>
          <t>Notes</t>
        </is>
      </c>
    </row>
    <row r="2">
      <c r="A2" s="2" t="inlineStr">
        <is>
          <t>Tasks from "Research" category will automatically appear here</t>
        </is>
      </c>
    </row>
  </sheetData>
  <mergeCells count="1">
    <mergeCell ref="A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2" t="inlineStr">
        <is>
          <t>👥 TEAM TASK VIEW</t>
        </is>
      </c>
    </row>
    <row r="2">
      <c r="A2" s="13" t="inlineStr">
        <is>
          <t>Assigned To</t>
        </is>
      </c>
      <c r="B2" s="13" t="inlineStr">
        <is>
          <t>Task Name</t>
        </is>
      </c>
      <c r="C2" s="13" t="inlineStr">
        <is>
          <t>Category</t>
        </is>
      </c>
      <c r="D2" s="13" t="inlineStr">
        <is>
          <t>Priority</t>
        </is>
      </c>
      <c r="E2" s="13" t="inlineStr">
        <is>
          <t>Due Date</t>
        </is>
      </c>
      <c r="F2" s="13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📈 TASK ANALYTICS &amp; REPORTS</t>
        </is>
      </c>
    </row>
    <row r="3">
      <c r="A3" s="15" t="inlineStr">
        <is>
          <t>Summary Statistics</t>
        </is>
      </c>
    </row>
    <row r="5">
      <c r="A5" s="16" t="inlineStr">
        <is>
          <t>Total Tasks:</t>
        </is>
      </c>
      <c r="B5">
        <f>COUNTA('Task Entry'!A:A)-1</f>
        <v/>
      </c>
    </row>
    <row r="6">
      <c r="A6" s="16" t="inlineStr">
        <is>
          <t>Completed Tasks:</t>
        </is>
      </c>
      <c r="B6">
        <f>COUNTIF('Task Entry'!G:G,"Completed")</f>
        <v/>
      </c>
    </row>
    <row r="7">
      <c r="A7" s="16" t="inlineStr">
        <is>
          <t>In Progress:</t>
        </is>
      </c>
      <c r="B7">
        <f>COUNTIF('Task Entry'!G:G,"In Progress")</f>
        <v/>
      </c>
    </row>
    <row r="8">
      <c r="A8" s="16" t="inlineStr">
        <is>
          <t>Not Started:</t>
        </is>
      </c>
      <c r="B8">
        <f>COUNTIF('Task Entry'!G:G,"Not Started")</f>
        <v/>
      </c>
    </row>
    <row r="9">
      <c r="A9" s="16" t="inlineStr">
        <is>
          <t>On Hold:</t>
        </is>
      </c>
      <c r="B9">
        <f>COUNTIF('Task Entry'!G:G,"On Hold")</f>
        <v/>
      </c>
    </row>
    <row r="10">
      <c r="A10" s="16" t="inlineStr">
        <is>
          <t>Completion Rate:</t>
        </is>
      </c>
      <c r="B10" s="17">
        <f>IF(B5&gt;0,B6/B5,0)</f>
        <v/>
      </c>
    </row>
    <row r="12">
      <c r="A12" s="15" t="inlineStr">
        <is>
          <t>Tasks by Category</t>
        </is>
      </c>
    </row>
    <row r="14">
      <c r="A14" t="inlineStr">
        <is>
          <t>Development</t>
        </is>
      </c>
      <c r="B14">
        <f>COUNTIF('Task Entry'!C:C,"Development")</f>
        <v/>
      </c>
    </row>
    <row r="15">
      <c r="A15" t="inlineStr">
        <is>
          <t>Design</t>
        </is>
      </c>
      <c r="B15">
        <f>COUNTIF('Task Entry'!C:C,"Design")</f>
        <v/>
      </c>
    </row>
    <row r="16">
      <c r="A16" t="inlineStr">
        <is>
          <t>Marketing</t>
        </is>
      </c>
      <c r="B16">
        <f>COUNTIF('Task Entry'!C:C,"Marketing")</f>
        <v/>
      </c>
    </row>
    <row r="17">
      <c r="A17" t="inlineStr">
        <is>
          <t>Sales</t>
        </is>
      </c>
      <c r="B17">
        <f>COUNTIF('Task Entry'!C:C,"Sales")</f>
        <v/>
      </c>
    </row>
    <row r="18">
      <c r="A18" t="inlineStr">
        <is>
          <t>Support</t>
        </is>
      </c>
      <c r="B18">
        <f>COUNTIF('Task Entry'!C:C,"Support")</f>
        <v/>
      </c>
    </row>
    <row r="19">
      <c r="A19" t="inlineStr">
        <is>
          <t>Admin</t>
        </is>
      </c>
      <c r="B19">
        <f>COUNTIF('Task Entry'!C:C,"Admin")</f>
        <v/>
      </c>
    </row>
    <row r="20">
      <c r="A20" t="inlineStr">
        <is>
          <t>Planning</t>
        </is>
      </c>
      <c r="B20">
        <f>COUNTIF('Task Entry'!C:C,"Planning")</f>
        <v/>
      </c>
    </row>
    <row r="21">
      <c r="A21" t="inlineStr">
        <is>
          <t>Research</t>
        </is>
      </c>
      <c r="B21">
        <f>COUNTIF('Task Entry'!C:C,"Research")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📦 COMPLETED TASKS ARCHIVE</t>
        </is>
      </c>
    </row>
    <row r="2">
      <c r="A2" s="19" t="inlineStr">
        <is>
          <t>Task ID</t>
        </is>
      </c>
      <c r="B2" s="19" t="inlineStr">
        <is>
          <t>Task Name</t>
        </is>
      </c>
      <c r="C2" s="19" t="inlineStr">
        <is>
          <t>Category</t>
        </is>
      </c>
      <c r="D2" s="19" t="inlineStr">
        <is>
          <t>Assigned To</t>
        </is>
      </c>
      <c r="E2" s="19" t="inlineStr">
        <is>
          <t>Priority</t>
        </is>
      </c>
      <c r="F2" s="19" t="inlineStr">
        <is>
          <t>Due Date</t>
        </is>
      </c>
      <c r="G2" s="19" t="inlineStr">
        <is>
          <t>Completed Date</t>
        </is>
      </c>
      <c r="H2" s="19" t="inlineStr">
        <is>
          <t>Duration (days)</t>
        </is>
      </c>
      <c r="I2" s="19" t="inlineStr">
        <is>
          <t>Description</t>
        </is>
      </c>
      <c r="J2" s="19" t="inlineStr">
        <is>
          <t>Notes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2026-02-07T01:34:41Z</dcterms:created>
  <dcterms:modified xsi:type="dcterms:W3CDTF">2026-02-07T01:34:42Z</dcterms:modified>
</cp:coreProperties>
</file>